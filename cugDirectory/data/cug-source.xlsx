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OONAM_ADMIN\Desktop\"/>
    </mc:Choice>
  </mc:AlternateContent>
  <xr:revisionPtr revIDLastSave="0" documentId="13_ncr:1_{7CA24A0B-EE2D-42CE-8A27-37D791E354B1}" xr6:coauthVersionLast="47" xr6:coauthVersionMax="47" xr10:uidLastSave="{00000000-0000-0000-0000-000000000000}"/>
  <bookViews>
    <workbookView xWindow="-120" yWindow="-120" windowWidth="29040" windowHeight="15720" tabRatio="511" xr2:uid="{00000000-000D-0000-FFFF-FFFF00000000}"/>
  </bookViews>
  <sheets>
    <sheet name="Sheet1" sheetId="1" r:id="rId1"/>
    <sheet name="Sheet2" sheetId="4" r:id="rId2"/>
    <sheet name="staff details mgr and above" sheetId="2" r:id="rId3"/>
    <sheet name="Sheet3" sheetId="3" r:id="rId4"/>
  </sheets>
  <definedNames>
    <definedName name="_xlnm._FilterDatabase" localSheetId="0" hidden="1">Sheet1!$A$2:$P$287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4" i="1" l="1"/>
  <c r="R290" i="1"/>
  <c r="E309" i="1"/>
  <c r="O273" i="1"/>
  <c r="O272" i="1"/>
  <c r="O257" i="1"/>
  <c r="O244" i="1"/>
  <c r="O243" i="1"/>
  <c r="O245" i="1"/>
  <c r="O137" i="1"/>
  <c r="O4" i="1" l="1"/>
  <c r="O236" i="1"/>
  <c r="O50" i="1"/>
  <c r="P247" i="1" l="1"/>
  <c r="O15" i="1"/>
  <c r="O9" i="1" l="1"/>
  <c r="P9" i="1" s="1"/>
  <c r="P63" i="1"/>
  <c r="P246" i="1"/>
  <c r="O86" i="1" l="1"/>
  <c r="P86" i="1" s="1"/>
  <c r="O68" i="1"/>
  <c r="P68" i="1" s="1"/>
  <c r="N286" i="1"/>
  <c r="P17" i="1"/>
  <c r="P26" i="1"/>
  <c r="O19" i="1"/>
  <c r="P19" i="1" s="1"/>
  <c r="O30" i="1"/>
  <c r="P30" i="1" s="1"/>
  <c r="O53" i="1"/>
  <c r="P53" i="1" s="1"/>
  <c r="O71" i="1"/>
  <c r="P71" i="1" s="1"/>
  <c r="O21" i="1"/>
  <c r="P21" i="1" s="1"/>
  <c r="O177" i="1"/>
  <c r="L284" i="1"/>
  <c r="L285" i="1" s="1"/>
  <c r="P245" i="1"/>
  <c r="P244" i="1"/>
  <c r="P243" i="1"/>
  <c r="O242" i="1"/>
  <c r="P242" i="1" s="1"/>
  <c r="P241" i="1"/>
  <c r="O240" i="1"/>
  <c r="P240" i="1" s="1"/>
  <c r="O239" i="1"/>
  <c r="P239" i="1" s="1"/>
  <c r="O238" i="1"/>
  <c r="P238" i="1" s="1"/>
  <c r="O237" i="1"/>
  <c r="P237" i="1" s="1"/>
  <c r="O235" i="1"/>
  <c r="P235" i="1" s="1"/>
  <c r="O234" i="1"/>
  <c r="P234" i="1" s="1"/>
  <c r="O233" i="1"/>
  <c r="P233" i="1" s="1"/>
  <c r="O232" i="1"/>
  <c r="P232" i="1" s="1"/>
  <c r="O231" i="1"/>
  <c r="P231" i="1" s="1"/>
  <c r="O230" i="1"/>
  <c r="P230" i="1" s="1"/>
  <c r="O229" i="1"/>
  <c r="P229" i="1" s="1"/>
  <c r="O228" i="1"/>
  <c r="P228" i="1" s="1"/>
  <c r="O227" i="1"/>
  <c r="P227" i="1" s="1"/>
  <c r="O226" i="1"/>
  <c r="P226" i="1" s="1"/>
  <c r="O225" i="1"/>
  <c r="P225" i="1" s="1"/>
  <c r="O224" i="1"/>
  <c r="P224" i="1" s="1"/>
  <c r="O223" i="1"/>
  <c r="P223" i="1" s="1"/>
  <c r="O222" i="1"/>
  <c r="P222" i="1" s="1"/>
  <c r="O221" i="1"/>
  <c r="P221" i="1" s="1"/>
  <c r="O220" i="1"/>
  <c r="P220" i="1" s="1"/>
  <c r="O219" i="1"/>
  <c r="P219" i="1" s="1"/>
  <c r="O218" i="1"/>
  <c r="P218" i="1" s="1"/>
  <c r="O217" i="1"/>
  <c r="P217" i="1" s="1"/>
  <c r="O216" i="1"/>
  <c r="P216" i="1" s="1"/>
  <c r="O215" i="1"/>
  <c r="P215" i="1" s="1"/>
  <c r="O214" i="1"/>
  <c r="P214" i="1" s="1"/>
  <c r="O213" i="1"/>
  <c r="P213" i="1" s="1"/>
  <c r="O212" i="1"/>
  <c r="P212" i="1" s="1"/>
  <c r="O211" i="1"/>
  <c r="P211" i="1" s="1"/>
  <c r="O210" i="1"/>
  <c r="P210" i="1" s="1"/>
  <c r="O209" i="1"/>
  <c r="P209" i="1" s="1"/>
  <c r="O208" i="1"/>
  <c r="P208" i="1" s="1"/>
  <c r="O207" i="1"/>
  <c r="P207" i="1" s="1"/>
  <c r="O206" i="1"/>
  <c r="P206" i="1" s="1"/>
  <c r="O205" i="1"/>
  <c r="P205" i="1" s="1"/>
  <c r="O204" i="1"/>
  <c r="P204" i="1" s="1"/>
  <c r="O203" i="1"/>
  <c r="P203" i="1" s="1"/>
  <c r="O202" i="1"/>
  <c r="P202" i="1" s="1"/>
  <c r="O201" i="1"/>
  <c r="P201" i="1" s="1"/>
  <c r="O200" i="1"/>
  <c r="P200" i="1" s="1"/>
  <c r="O199" i="1"/>
  <c r="P199" i="1" s="1"/>
  <c r="O198" i="1"/>
  <c r="P198" i="1" s="1"/>
  <c r="O197" i="1"/>
  <c r="P197" i="1" s="1"/>
  <c r="O196" i="1"/>
  <c r="P196" i="1" s="1"/>
  <c r="O195" i="1"/>
  <c r="P195" i="1" s="1"/>
  <c r="O194" i="1"/>
  <c r="P194" i="1" s="1"/>
  <c r="O193" i="1"/>
  <c r="P193" i="1" s="1"/>
  <c r="O192" i="1"/>
  <c r="P192" i="1" s="1"/>
  <c r="O191" i="1"/>
  <c r="P191" i="1" s="1"/>
  <c r="O190" i="1"/>
  <c r="P190" i="1" s="1"/>
  <c r="O189" i="1"/>
  <c r="P189" i="1" s="1"/>
  <c r="O188" i="1"/>
  <c r="P188" i="1" s="1"/>
  <c r="O187" i="1"/>
  <c r="P187" i="1" s="1"/>
  <c r="O186" i="1"/>
  <c r="P186" i="1" s="1"/>
  <c r="O185" i="1"/>
  <c r="P185" i="1" s="1"/>
  <c r="O184" i="1"/>
  <c r="P184" i="1" s="1"/>
  <c r="O183" i="1"/>
  <c r="P183" i="1" s="1"/>
  <c r="O182" i="1"/>
  <c r="P182" i="1" s="1"/>
  <c r="O181" i="1"/>
  <c r="P181" i="1" s="1"/>
  <c r="O180" i="1"/>
  <c r="O179" i="1"/>
  <c r="P179" i="1" s="1"/>
  <c r="O178" i="1"/>
  <c r="P178" i="1" s="1"/>
  <c r="P176" i="1"/>
  <c r="O175" i="1"/>
  <c r="P175" i="1" s="1"/>
  <c r="O174" i="1"/>
  <c r="P174" i="1" s="1"/>
  <c r="O173" i="1"/>
  <c r="P173" i="1" s="1"/>
  <c r="O172" i="1"/>
  <c r="P172" i="1" s="1"/>
  <c r="O171" i="1"/>
  <c r="P171" i="1" s="1"/>
  <c r="O170" i="1"/>
  <c r="P170" i="1" s="1"/>
  <c r="O169" i="1"/>
  <c r="P169" i="1" s="1"/>
  <c r="O168" i="1"/>
  <c r="P168" i="1" s="1"/>
  <c r="O167" i="1"/>
  <c r="P167" i="1" s="1"/>
  <c r="O166" i="1"/>
  <c r="P166" i="1" s="1"/>
  <c r="O165" i="1"/>
  <c r="P165" i="1" s="1"/>
  <c r="O164" i="1"/>
  <c r="P164" i="1" s="1"/>
  <c r="P163" i="1"/>
  <c r="P162" i="1"/>
  <c r="O161" i="1"/>
  <c r="P161" i="1" s="1"/>
  <c r="O160" i="1"/>
  <c r="P160" i="1" s="1"/>
  <c r="O159" i="1"/>
  <c r="P159" i="1" s="1"/>
  <c r="O158" i="1"/>
  <c r="P158" i="1" s="1"/>
  <c r="O157" i="1"/>
  <c r="P157" i="1" s="1"/>
  <c r="O156" i="1"/>
  <c r="P156" i="1" s="1"/>
  <c r="O155" i="1"/>
  <c r="P155" i="1" s="1"/>
  <c r="O154" i="1"/>
  <c r="P154" i="1" s="1"/>
  <c r="O153" i="1"/>
  <c r="P153" i="1" s="1"/>
  <c r="O152" i="1"/>
  <c r="P152" i="1" s="1"/>
  <c r="O151" i="1"/>
  <c r="P151" i="1" s="1"/>
  <c r="O150" i="1"/>
  <c r="P150" i="1" s="1"/>
  <c r="O149" i="1"/>
  <c r="P149" i="1" s="1"/>
  <c r="O148" i="1"/>
  <c r="P148" i="1" s="1"/>
  <c r="O147" i="1"/>
  <c r="P147" i="1" s="1"/>
  <c r="O146" i="1"/>
  <c r="P146" i="1" s="1"/>
  <c r="O145" i="1"/>
  <c r="P145" i="1" s="1"/>
  <c r="O144" i="1"/>
  <c r="P144" i="1" s="1"/>
  <c r="O143" i="1"/>
  <c r="P143" i="1" s="1"/>
  <c r="O142" i="1"/>
  <c r="P142" i="1" s="1"/>
  <c r="O141" i="1"/>
  <c r="P141" i="1" s="1"/>
  <c r="O140" i="1"/>
  <c r="P140" i="1" s="1"/>
  <c r="O139" i="1"/>
  <c r="P139" i="1" s="1"/>
  <c r="O138" i="1"/>
  <c r="P138" i="1" s="1"/>
  <c r="P137" i="1"/>
  <c r="O136" i="1"/>
  <c r="P136" i="1" s="1"/>
  <c r="O135" i="1"/>
  <c r="P135" i="1" s="1"/>
  <c r="O134" i="1"/>
  <c r="P134" i="1" s="1"/>
  <c r="O133" i="1"/>
  <c r="P133" i="1" s="1"/>
  <c r="O132" i="1"/>
  <c r="P132" i="1" s="1"/>
  <c r="O131" i="1"/>
  <c r="P131" i="1" s="1"/>
  <c r="O130" i="1"/>
  <c r="P130" i="1" s="1"/>
  <c r="O129" i="1"/>
  <c r="P129" i="1" s="1"/>
  <c r="O128" i="1"/>
  <c r="P128" i="1" s="1"/>
  <c r="O127" i="1"/>
  <c r="P127" i="1" s="1"/>
  <c r="O126" i="1"/>
  <c r="P126" i="1" s="1"/>
  <c r="O125" i="1"/>
  <c r="P125" i="1" s="1"/>
  <c r="O124" i="1"/>
  <c r="O123" i="1"/>
  <c r="P123" i="1" s="1"/>
  <c r="P122" i="1"/>
  <c r="O121" i="1"/>
  <c r="P121" i="1" s="1"/>
  <c r="O120" i="1"/>
  <c r="P120" i="1" s="1"/>
  <c r="O119" i="1"/>
  <c r="P119" i="1" s="1"/>
  <c r="O118" i="1"/>
  <c r="P118" i="1" s="1"/>
  <c r="O117" i="1"/>
  <c r="P117" i="1" s="1"/>
  <c r="O116" i="1"/>
  <c r="P116" i="1" s="1"/>
  <c r="O115" i="1"/>
  <c r="P115" i="1" s="1"/>
  <c r="O114" i="1"/>
  <c r="P114" i="1" s="1"/>
  <c r="O113" i="1"/>
  <c r="P113" i="1" s="1"/>
  <c r="O112" i="1"/>
  <c r="P112" i="1" s="1"/>
  <c r="O111" i="1"/>
  <c r="P111" i="1" s="1"/>
  <c r="O110" i="1"/>
  <c r="P110" i="1" s="1"/>
  <c r="O109" i="1"/>
  <c r="P109" i="1" s="1"/>
  <c r="O108" i="1"/>
  <c r="P108" i="1" s="1"/>
  <c r="O107" i="1"/>
  <c r="P107" i="1" s="1"/>
  <c r="O106" i="1"/>
  <c r="P106" i="1" s="1"/>
  <c r="O105" i="1"/>
  <c r="P105" i="1" s="1"/>
  <c r="O104" i="1"/>
  <c r="P104" i="1" s="1"/>
  <c r="O103" i="1"/>
  <c r="P103" i="1" s="1"/>
  <c r="O102" i="1"/>
  <c r="P102" i="1" s="1"/>
  <c r="O101" i="1"/>
  <c r="P101" i="1" s="1"/>
  <c r="O100" i="1"/>
  <c r="P100" i="1" s="1"/>
  <c r="O99" i="1"/>
  <c r="P99" i="1" s="1"/>
  <c r="O98" i="1"/>
  <c r="P98" i="1" s="1"/>
  <c r="O97" i="1"/>
  <c r="P97" i="1" s="1"/>
  <c r="O96" i="1"/>
  <c r="P96" i="1" s="1"/>
  <c r="O95" i="1"/>
  <c r="P95" i="1" s="1"/>
  <c r="O94" i="1"/>
  <c r="P94" i="1" s="1"/>
  <c r="O93" i="1"/>
  <c r="P93" i="1" s="1"/>
  <c r="O92" i="1"/>
  <c r="P92" i="1" s="1"/>
  <c r="O91" i="1"/>
  <c r="P91" i="1" s="1"/>
  <c r="O90" i="1"/>
  <c r="P90" i="1" s="1"/>
  <c r="P89" i="1"/>
  <c r="O88" i="1"/>
  <c r="P88" i="1" s="1"/>
  <c r="O87" i="1"/>
  <c r="P87" i="1" s="1"/>
  <c r="O85" i="1"/>
  <c r="P85" i="1" s="1"/>
  <c r="O84" i="1"/>
  <c r="P84" i="1" s="1"/>
  <c r="O82" i="1"/>
  <c r="P82" i="1" s="1"/>
  <c r="O81" i="1"/>
  <c r="P81" i="1" s="1"/>
  <c r="O80" i="1"/>
  <c r="P80" i="1" s="1"/>
  <c r="O79" i="1"/>
  <c r="P79" i="1" s="1"/>
  <c r="O78" i="1"/>
  <c r="P78" i="1" s="1"/>
  <c r="O77" i="1"/>
  <c r="P77" i="1" s="1"/>
  <c r="O76" i="1"/>
  <c r="P76" i="1" s="1"/>
  <c r="O75" i="1"/>
  <c r="P75" i="1" s="1"/>
  <c r="O74" i="1"/>
  <c r="P74" i="1" s="1"/>
  <c r="O73" i="1"/>
  <c r="P73" i="1" s="1"/>
  <c r="O72" i="1"/>
  <c r="P72" i="1" s="1"/>
  <c r="O70" i="1"/>
  <c r="P70" i="1" s="1"/>
  <c r="O69" i="1"/>
  <c r="P69" i="1" s="1"/>
  <c r="O67" i="1"/>
  <c r="P67" i="1" s="1"/>
  <c r="O66" i="1"/>
  <c r="P66" i="1" s="1"/>
  <c r="O65" i="1"/>
  <c r="P65" i="1" s="1"/>
  <c r="O64" i="1"/>
  <c r="P64" i="1" s="1"/>
  <c r="O62" i="1"/>
  <c r="P62" i="1" s="1"/>
  <c r="O61" i="1"/>
  <c r="P61" i="1" s="1"/>
  <c r="O60" i="1"/>
  <c r="P60" i="1" s="1"/>
  <c r="O59" i="1"/>
  <c r="P59" i="1" s="1"/>
  <c r="O58" i="1"/>
  <c r="P58" i="1" s="1"/>
  <c r="O57" i="1"/>
  <c r="P57" i="1" s="1"/>
  <c r="O56" i="1"/>
  <c r="P56" i="1" s="1"/>
  <c r="O55" i="1"/>
  <c r="P55" i="1" s="1"/>
  <c r="O54" i="1"/>
  <c r="P54" i="1" s="1"/>
  <c r="O52" i="1"/>
  <c r="P52" i="1" s="1"/>
  <c r="O51" i="1"/>
  <c r="P51" i="1" s="1"/>
  <c r="P50" i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6" i="1"/>
  <c r="P36" i="1" s="1"/>
  <c r="O35" i="1"/>
  <c r="P35" i="1" s="1"/>
  <c r="O34" i="1"/>
  <c r="P34" i="1" s="1"/>
  <c r="O33" i="1"/>
  <c r="P33" i="1" s="1"/>
  <c r="O32" i="1"/>
  <c r="P32" i="1" s="1"/>
  <c r="O31" i="1"/>
  <c r="P31" i="1" s="1"/>
  <c r="O29" i="1"/>
  <c r="P29" i="1" s="1"/>
  <c r="O28" i="1"/>
  <c r="O27" i="1"/>
  <c r="P27" i="1" s="1"/>
  <c r="O25" i="1"/>
  <c r="P25" i="1" s="1"/>
  <c r="O24" i="1"/>
  <c r="P24" i="1" s="1"/>
  <c r="O23" i="1"/>
  <c r="P23" i="1" s="1"/>
  <c r="O22" i="1"/>
  <c r="P22" i="1" s="1"/>
  <c r="O20" i="1"/>
  <c r="P20" i="1" s="1"/>
  <c r="O18" i="1"/>
  <c r="P18" i="1" s="1"/>
  <c r="O16" i="1"/>
  <c r="P16" i="1" s="1"/>
  <c r="P15" i="1"/>
  <c r="O14" i="1"/>
  <c r="P14" i="1" s="1"/>
  <c r="O13" i="1"/>
  <c r="P13" i="1" s="1"/>
  <c r="O12" i="1"/>
  <c r="P12" i="1" s="1"/>
  <c r="O11" i="1"/>
  <c r="P11" i="1" s="1"/>
  <c r="P10" i="1"/>
  <c r="O8" i="1"/>
  <c r="P8" i="1" s="1"/>
  <c r="P7" i="1"/>
  <c r="O6" i="1"/>
  <c r="P6" i="1" s="1"/>
  <c r="O5" i="1"/>
  <c r="P5" i="1" s="1"/>
  <c r="P4" i="1"/>
  <c r="O3" i="1"/>
  <c r="P3" i="1" s="1"/>
  <c r="P28" i="1" l="1"/>
  <c r="O284" i="1"/>
  <c r="E310" i="1"/>
  <c r="E311" i="1" s="1"/>
  <c r="P236" i="1"/>
  <c r="P124" i="1"/>
  <c r="N285" i="1"/>
  <c r="N287" i="1" s="1"/>
  <c r="L286" i="1"/>
  <c r="O286" i="1" l="1"/>
  <c r="O285" i="1"/>
  <c r="L287" i="1"/>
  <c r="O287" i="1" l="1"/>
</calcChain>
</file>

<file path=xl/sharedStrings.xml><?xml version="1.0" encoding="utf-8"?>
<sst xmlns="http://schemas.openxmlformats.org/spreadsheetml/2006/main" count="2117" uniqueCount="507">
  <si>
    <t>Name</t>
  </si>
  <si>
    <t>Total amt</t>
  </si>
  <si>
    <t>Virender Singh</t>
  </si>
  <si>
    <t>Catg</t>
  </si>
  <si>
    <t>E5</t>
  </si>
  <si>
    <t>Emp</t>
  </si>
  <si>
    <t>New Delhi</t>
  </si>
  <si>
    <t>Office</t>
  </si>
  <si>
    <t>Weel chair (TFC)</t>
  </si>
  <si>
    <t>Ashish kumar</t>
  </si>
  <si>
    <t>North Zone</t>
  </si>
  <si>
    <t>AGM</t>
  </si>
  <si>
    <t>Fin</t>
  </si>
  <si>
    <t>E6</t>
  </si>
  <si>
    <t>Sunil kumar</t>
  </si>
  <si>
    <t>Workmen</t>
  </si>
  <si>
    <t>W-4</t>
  </si>
  <si>
    <t>NZ</t>
  </si>
  <si>
    <t>JGM/BK</t>
  </si>
  <si>
    <t>base kitchen</t>
  </si>
  <si>
    <t>Vinay Swaroop</t>
  </si>
  <si>
    <t>JGM</t>
  </si>
  <si>
    <t>Amit Saini</t>
  </si>
  <si>
    <t>Manager</t>
  </si>
  <si>
    <t>BK</t>
  </si>
  <si>
    <t>Arindam Banerjee</t>
  </si>
  <si>
    <t>HRD</t>
  </si>
  <si>
    <t>Suraj</t>
  </si>
  <si>
    <t>JGM/OCS</t>
  </si>
  <si>
    <t>Sandeep kamal</t>
  </si>
  <si>
    <t>W4</t>
  </si>
  <si>
    <t>Control</t>
  </si>
  <si>
    <t>Amarjit Singh Bagla</t>
  </si>
  <si>
    <t>j k giri</t>
  </si>
  <si>
    <t>Exec</t>
  </si>
  <si>
    <t>Namrata Jaiswal</t>
  </si>
  <si>
    <t>Praveen Kumar</t>
  </si>
  <si>
    <t>Mobile Catering</t>
  </si>
  <si>
    <t>Fin.</t>
  </si>
  <si>
    <t>S-4</t>
  </si>
  <si>
    <t>Atul Singh</t>
  </si>
  <si>
    <t>AM/Tourism</t>
  </si>
  <si>
    <t>Tourism</t>
  </si>
  <si>
    <t>Vidhi Sharma</t>
  </si>
  <si>
    <t>Chief Supervisor</t>
  </si>
  <si>
    <t>C&amp;I</t>
  </si>
  <si>
    <t>Amit Bhandari</t>
  </si>
  <si>
    <t>Tajender singh</t>
  </si>
  <si>
    <t>Anish Yadav</t>
  </si>
  <si>
    <t>Balwant Singh</t>
  </si>
  <si>
    <t>Mukesh Kumar</t>
  </si>
  <si>
    <t>Gaurav Kumar kandwal</t>
  </si>
  <si>
    <t>Delhi</t>
  </si>
  <si>
    <t>DLI</t>
  </si>
  <si>
    <t>Vigilance Officer</t>
  </si>
  <si>
    <t>Vigilance</t>
  </si>
  <si>
    <t>Ravendra Singh</t>
  </si>
  <si>
    <t>Munmun Jhamb</t>
  </si>
  <si>
    <t>Rahul Azad</t>
  </si>
  <si>
    <t>Rahul Parashar</t>
  </si>
  <si>
    <t>Rakesh Kumar</t>
  </si>
  <si>
    <t>Ritesh Kumar</t>
  </si>
  <si>
    <t>Rohit Kumar</t>
  </si>
  <si>
    <t>Satender Singh</t>
  </si>
  <si>
    <t>Sidharth Nath Prasad</t>
  </si>
  <si>
    <t>Uday</t>
  </si>
  <si>
    <t>Sonal Dayal</t>
  </si>
  <si>
    <t>Balbir</t>
  </si>
  <si>
    <t>Sumit Kumar</t>
  </si>
  <si>
    <t>Sunil Kumar</t>
  </si>
  <si>
    <t>Bushra</t>
  </si>
  <si>
    <t>DEO</t>
  </si>
  <si>
    <t>Sushil</t>
  </si>
  <si>
    <t xml:space="preserve">Archit  </t>
  </si>
  <si>
    <t xml:space="preserve">Alok Kumar </t>
  </si>
  <si>
    <t>Mukesh</t>
  </si>
  <si>
    <t>Chandigarh</t>
  </si>
  <si>
    <t>Finance</t>
  </si>
  <si>
    <t xml:space="preserve">Pankaj Kumar </t>
  </si>
  <si>
    <t>Pawan Kumar</t>
  </si>
  <si>
    <t>Harshvardhan</t>
  </si>
  <si>
    <t>Siddharth Dandotiya</t>
  </si>
  <si>
    <t>office</t>
  </si>
  <si>
    <t>Anjali Harsh</t>
  </si>
  <si>
    <t>Admin</t>
  </si>
  <si>
    <t xml:space="preserve">Bijender </t>
  </si>
  <si>
    <t>Deepak Rawat</t>
  </si>
  <si>
    <t>Jai Singh</t>
  </si>
  <si>
    <t xml:space="preserve">NRC </t>
  </si>
  <si>
    <t>Manoj Kumar</t>
  </si>
  <si>
    <t>Manoj Sangwan</t>
  </si>
  <si>
    <t>Naveen</t>
  </si>
  <si>
    <t>Workman</t>
  </si>
  <si>
    <t>Pradeep Kumar</t>
  </si>
  <si>
    <t>Naveen Verma</t>
  </si>
  <si>
    <t>Ramesh kumar</t>
  </si>
  <si>
    <t>Pintu Singh</t>
  </si>
  <si>
    <t>D/C</t>
  </si>
  <si>
    <t>TIRC013</t>
  </si>
  <si>
    <t>Sachin Sharma</t>
  </si>
  <si>
    <t>00S</t>
  </si>
  <si>
    <t>OS</t>
  </si>
  <si>
    <t>TIRC007</t>
  </si>
  <si>
    <t>Rajnish Kumar  Pandey</t>
  </si>
  <si>
    <t>TIRC017</t>
  </si>
  <si>
    <t>Pujeshwar</t>
  </si>
  <si>
    <t>Dileep Seth</t>
  </si>
  <si>
    <t>Cunsultant</t>
  </si>
  <si>
    <t>Legal</t>
  </si>
  <si>
    <t>TIRC012</t>
  </si>
  <si>
    <t xml:space="preserve">Arun Kumar </t>
  </si>
  <si>
    <t>W3</t>
  </si>
  <si>
    <t>Izhar Alam</t>
  </si>
  <si>
    <t>CRM</t>
  </si>
  <si>
    <t>TIRC011</t>
  </si>
  <si>
    <t>Rajiv Ranjan</t>
  </si>
  <si>
    <t>Bk</t>
  </si>
  <si>
    <t>IRCO002</t>
  </si>
  <si>
    <t>Amresh Chandra Das</t>
  </si>
  <si>
    <t>os</t>
  </si>
  <si>
    <t>new delhi</t>
  </si>
  <si>
    <t>TIRC003</t>
  </si>
  <si>
    <t>Rishikesh Singh</t>
  </si>
  <si>
    <t>TFC</t>
  </si>
  <si>
    <t>Sanjay Minz</t>
  </si>
  <si>
    <t>Sri Kishan Sharma</t>
  </si>
  <si>
    <t>Probir Sonowal</t>
  </si>
  <si>
    <t>Varun Kumar</t>
  </si>
  <si>
    <t>Alok Kumar</t>
  </si>
  <si>
    <t>ANVT</t>
  </si>
  <si>
    <t>Sahil Saini</t>
  </si>
  <si>
    <t>Vikas Gusain</t>
  </si>
  <si>
    <t>Vikas Kr Nagar</t>
  </si>
  <si>
    <t>Rubia Rai</t>
  </si>
  <si>
    <t>W-6</t>
  </si>
  <si>
    <t>HR</t>
  </si>
  <si>
    <t>Rahul</t>
  </si>
  <si>
    <t>Akhilesh</t>
  </si>
  <si>
    <t>Vipin Sharma</t>
  </si>
  <si>
    <t>Dhawal Kumar</t>
  </si>
  <si>
    <t>Ravinder Singh</t>
  </si>
  <si>
    <t>Rashmi</t>
  </si>
  <si>
    <t>Vikas Pratham</t>
  </si>
  <si>
    <t>Dharmendra Dubey</t>
  </si>
  <si>
    <t>Supervisor</t>
  </si>
  <si>
    <t>S2</t>
  </si>
  <si>
    <t>Akshay Shanker Kulshrestha</t>
  </si>
  <si>
    <t>Saurabh Kashyap</t>
  </si>
  <si>
    <t>OCS</t>
  </si>
  <si>
    <t>Deepak Kumar</t>
  </si>
  <si>
    <t>Monika Shankar</t>
  </si>
  <si>
    <t>Somimaya Zimik</t>
  </si>
  <si>
    <t>Catg.asstt</t>
  </si>
  <si>
    <t>Mohd. Yunus</t>
  </si>
  <si>
    <t>Mobin Ahmed</t>
  </si>
  <si>
    <t>Bipin Singh</t>
  </si>
  <si>
    <t>Abhinandan</t>
  </si>
  <si>
    <t>Naresh Gupta</t>
  </si>
  <si>
    <t>Rajesh</t>
  </si>
  <si>
    <t>Sachin Katiyar</t>
  </si>
  <si>
    <t>Devesh kumar</t>
  </si>
  <si>
    <t>Vikash Mishra</t>
  </si>
  <si>
    <t>Catg Asst</t>
  </si>
  <si>
    <t>Ravi Kumar</t>
  </si>
  <si>
    <t>Gaurav Kumar</t>
  </si>
  <si>
    <t>Arun Kumar Rao</t>
  </si>
  <si>
    <t>Sonu Yadav</t>
  </si>
  <si>
    <t>Surender Singh</t>
  </si>
  <si>
    <t>Nagender Pal</t>
  </si>
  <si>
    <t>Vivek Pant</t>
  </si>
  <si>
    <t>Guman</t>
  </si>
  <si>
    <t>Dharamveer</t>
  </si>
  <si>
    <t>Harpreet Saini</t>
  </si>
  <si>
    <t>Avinash Kr. Sharma</t>
  </si>
  <si>
    <t>Anup singh</t>
  </si>
  <si>
    <t>Devender Kumar</t>
  </si>
  <si>
    <t>Shamim Akhtar</t>
  </si>
  <si>
    <t>Naveen Kumar</t>
  </si>
  <si>
    <t>F&amp;B Attendant</t>
  </si>
  <si>
    <t>W2</t>
  </si>
  <si>
    <t>Ranjeet Kumar</t>
  </si>
  <si>
    <t>Indra Singh</t>
  </si>
  <si>
    <t>Avtar Singh</t>
  </si>
  <si>
    <t>Manish Kumar</t>
  </si>
  <si>
    <t>W-3</t>
  </si>
  <si>
    <t>Dheeraj Chauhan</t>
  </si>
  <si>
    <t>W-5</t>
  </si>
  <si>
    <t>Rajanesh Kumar Meena</t>
  </si>
  <si>
    <t>Dilip Joshi</t>
  </si>
  <si>
    <t>Virender Singh Bisht</t>
  </si>
  <si>
    <t>Ramandeep</t>
  </si>
  <si>
    <t>Surender Kumar Gurjer</t>
  </si>
  <si>
    <t>Preet Singh</t>
  </si>
  <si>
    <t>Umesh Yagnik</t>
  </si>
  <si>
    <t>W-2</t>
  </si>
  <si>
    <t>Ranbir Kumar</t>
  </si>
  <si>
    <t>Savar</t>
  </si>
  <si>
    <t>Mohd Javed</t>
  </si>
  <si>
    <t>Ashutosh Shukla</t>
  </si>
  <si>
    <t>Rajender Singh Rana</t>
  </si>
  <si>
    <t>Rajnish Kumar Singh</t>
  </si>
  <si>
    <t>Sunil Tarneja</t>
  </si>
  <si>
    <t>E-6</t>
  </si>
  <si>
    <t>Raj Kumar Chand</t>
  </si>
  <si>
    <t>Shahid Beig</t>
  </si>
  <si>
    <t>Vinay Verma</t>
  </si>
  <si>
    <t>Simranjeet Singh Chawla</t>
  </si>
  <si>
    <t>Ashwani Gaur</t>
  </si>
  <si>
    <t>TIRC015</t>
  </si>
  <si>
    <t>Gaurav Gupta</t>
  </si>
  <si>
    <t>TIRC016</t>
  </si>
  <si>
    <t>Yogender Singh</t>
  </si>
  <si>
    <t>Yoginder padit</t>
  </si>
  <si>
    <t>admin</t>
  </si>
  <si>
    <t>TIRC103</t>
  </si>
  <si>
    <t>vig</t>
  </si>
  <si>
    <t>deo</t>
  </si>
  <si>
    <t>Mahender</t>
  </si>
  <si>
    <t>Mohd Khalid</t>
  </si>
  <si>
    <t>Ankush Verma</t>
  </si>
  <si>
    <t>Kuldeep Sharma</t>
  </si>
  <si>
    <t>Dinesh Chandra Meghwal</t>
  </si>
  <si>
    <t>Poonam</t>
  </si>
  <si>
    <t>Rahul Kumar</t>
  </si>
  <si>
    <t>Satya dev</t>
  </si>
  <si>
    <t xml:space="preserve">Rahul </t>
  </si>
  <si>
    <t>Deepak kumar</t>
  </si>
  <si>
    <t>Vinod Kumar sah</t>
  </si>
  <si>
    <t xml:space="preserve">Arun Kumar Singh </t>
  </si>
  <si>
    <t>Rakesh Bairwa</t>
  </si>
  <si>
    <t>Parveen Kumar</t>
  </si>
  <si>
    <t>Pankaj Kumar</t>
  </si>
  <si>
    <t>Samay Singh</t>
  </si>
  <si>
    <t>Shravan Ram</t>
  </si>
  <si>
    <t>Shiv Kumar</t>
  </si>
  <si>
    <t>Harish Chander Pandey</t>
  </si>
  <si>
    <t>Neeraj Negi</t>
  </si>
  <si>
    <t>Kishan Singh</t>
  </si>
  <si>
    <t>Virender Nagar</t>
  </si>
  <si>
    <t>Issued to Tourism deptt. For on board monitoring of trains (Tab)</t>
  </si>
  <si>
    <t>tourism</t>
  </si>
  <si>
    <t>Catg.  Assist</t>
  </si>
  <si>
    <t>Deepak Chauhan</t>
  </si>
  <si>
    <t>Lalit Rajwansh</t>
  </si>
  <si>
    <t>Neeraj Chaudhary</t>
  </si>
  <si>
    <t>Praveen</t>
  </si>
  <si>
    <t>Vinay Mishra</t>
  </si>
  <si>
    <t>Yogesh Kumar Yadav</t>
  </si>
  <si>
    <t>Gambhir Nagi</t>
  </si>
  <si>
    <t>Noor Athar</t>
  </si>
  <si>
    <t>suresh Kumar</t>
  </si>
  <si>
    <t>W1</t>
  </si>
  <si>
    <t>-</t>
  </si>
  <si>
    <t>EMP</t>
  </si>
  <si>
    <t>E-Catering</t>
  </si>
  <si>
    <t>E-Catering /Call centre</t>
  </si>
  <si>
    <t>CONTROL 1</t>
  </si>
  <si>
    <t>North Zone/ Control</t>
  </si>
  <si>
    <t>CONTROL 2</t>
  </si>
  <si>
    <t>North Zone/ Control 2</t>
  </si>
  <si>
    <t>MOT</t>
  </si>
  <si>
    <t>Ministry of Telecom</t>
  </si>
  <si>
    <t>Vijay Kumar</t>
  </si>
  <si>
    <t>DGM/T</t>
  </si>
  <si>
    <t>Sawan Kumar</t>
  </si>
  <si>
    <t>Ravinder Kumar</t>
  </si>
  <si>
    <t>Jagmohan Singh</t>
  </si>
  <si>
    <t>MGR</t>
  </si>
  <si>
    <t>E-3</t>
  </si>
  <si>
    <t>MANTUN</t>
  </si>
  <si>
    <t>Dinesh</t>
  </si>
  <si>
    <t>Abishek jhoda</t>
  </si>
  <si>
    <t>Anil kumar</t>
  </si>
  <si>
    <t>Sanjay sharma</t>
  </si>
  <si>
    <t>Mamta gautam</t>
  </si>
  <si>
    <t>Vandana</t>
  </si>
  <si>
    <t>Suruchi</t>
  </si>
  <si>
    <t>Mangilal</t>
  </si>
  <si>
    <t>Jaiveer singh</t>
  </si>
  <si>
    <t>Birender kumar</t>
  </si>
  <si>
    <t>Raffiq</t>
  </si>
  <si>
    <t>Zahid Ali</t>
  </si>
  <si>
    <t>Chandra Mohan</t>
  </si>
  <si>
    <t>E-5</t>
  </si>
  <si>
    <t>TFC/NDLS</t>
  </si>
  <si>
    <t>HANUMAN SINGH BHATI</t>
  </si>
  <si>
    <t>Rajesh Kumar</t>
  </si>
  <si>
    <t>Sharif khan</t>
  </si>
  <si>
    <t>Babli</t>
  </si>
  <si>
    <t>Sunder Singh</t>
  </si>
  <si>
    <t>Sunita verma</t>
  </si>
  <si>
    <t>Iftekhar Alam</t>
  </si>
  <si>
    <t>CGST (9%)</t>
  </si>
  <si>
    <t>SGST(9%)</t>
  </si>
  <si>
    <t>Total Amount Payable</t>
  </si>
  <si>
    <t>TRANSFERRED NOS.</t>
  </si>
  <si>
    <t>SN</t>
  </si>
  <si>
    <t>CUG No</t>
  </si>
  <si>
    <t>Location</t>
  </si>
  <si>
    <t>Amt</t>
  </si>
  <si>
    <t xml:space="preserve">Name </t>
  </si>
  <si>
    <t>E Code</t>
  </si>
  <si>
    <t>RNP</t>
  </si>
  <si>
    <t>Basu Dev</t>
  </si>
  <si>
    <t>Kapil Jindal</t>
  </si>
  <si>
    <t>Vijay Raturi</t>
  </si>
  <si>
    <t>GADIRCTC019</t>
  </si>
  <si>
    <t>Shantanu</t>
  </si>
  <si>
    <t>GADIRCTC015</t>
  </si>
  <si>
    <t>Sumit Kumar Tanwar</t>
  </si>
  <si>
    <t>GADIRCTC023</t>
  </si>
  <si>
    <t xml:space="preserve">Mandeep </t>
  </si>
  <si>
    <t>Daleep Singh</t>
  </si>
  <si>
    <t>cdg</t>
  </si>
  <si>
    <t>tourism deptt. For tab</t>
  </si>
  <si>
    <t>LKO</t>
  </si>
  <si>
    <t xml:space="preserve">younus  ahmed </t>
  </si>
  <si>
    <t>Deelip rai</t>
  </si>
  <si>
    <t>vikas kumar</t>
  </si>
  <si>
    <t>Dhananjay</t>
  </si>
  <si>
    <t>Sachin Kumar</t>
  </si>
  <si>
    <t>Total</t>
  </si>
  <si>
    <t>GST @18%</t>
  </si>
  <si>
    <t>Jose Francis Xavier</t>
  </si>
  <si>
    <t xml:space="preserve">Preeti Singh </t>
  </si>
  <si>
    <t>Nil</t>
  </si>
  <si>
    <t xml:space="preserve">Harender </t>
  </si>
  <si>
    <t>nil</t>
  </si>
  <si>
    <t>Deo</t>
  </si>
  <si>
    <t>fin</t>
  </si>
  <si>
    <t>Kritika Paliwal</t>
  </si>
  <si>
    <t>Radhika Goswami</t>
  </si>
  <si>
    <t>Railneer</t>
  </si>
  <si>
    <t>STAFF DETAILS</t>
  </si>
  <si>
    <t>S No.</t>
  </si>
  <si>
    <t>Desig.</t>
  </si>
  <si>
    <t>MPS Raghav</t>
  </si>
  <si>
    <t>AGM/T</t>
  </si>
  <si>
    <t>K M SINGH</t>
  </si>
  <si>
    <t>AGM/F</t>
  </si>
  <si>
    <t>AGM/ NZ</t>
  </si>
  <si>
    <t>AGM/MCS</t>
  </si>
  <si>
    <t>Harender</t>
  </si>
  <si>
    <t>JGM/T</t>
  </si>
  <si>
    <t>Brajendra tiwari</t>
  </si>
  <si>
    <t xml:space="preserve">VO </t>
  </si>
  <si>
    <t>JGM/DLI</t>
  </si>
  <si>
    <t>R K Chand</t>
  </si>
  <si>
    <t>Jose Francis xavier</t>
  </si>
  <si>
    <t>JGM/P&amp;A</t>
  </si>
  <si>
    <t>JGM/CRM</t>
  </si>
  <si>
    <t>P C Bihari</t>
  </si>
  <si>
    <t>JGM/HRD</t>
  </si>
  <si>
    <t>Basant kumar barasa</t>
  </si>
  <si>
    <t>DGM/MCS</t>
  </si>
  <si>
    <t>Vijay kumar</t>
  </si>
  <si>
    <t>S K Shola</t>
  </si>
  <si>
    <t>MGR/P&amp;A</t>
  </si>
  <si>
    <t>Neeraj kumar Sinha</t>
  </si>
  <si>
    <t>MGR/HRD</t>
  </si>
  <si>
    <t>Mgr/HRD</t>
  </si>
  <si>
    <t xml:space="preserve">Darshan kumar </t>
  </si>
  <si>
    <t>Mgr/DLI Area</t>
  </si>
  <si>
    <t>Sandeep Srivastava</t>
  </si>
  <si>
    <t>Mgr/Fin</t>
  </si>
  <si>
    <t>Mgr/BK</t>
  </si>
  <si>
    <t>MGR/OCS</t>
  </si>
  <si>
    <t>JK Giri</t>
  </si>
  <si>
    <t>AM/F</t>
  </si>
  <si>
    <t>Cunsultant Legal</t>
  </si>
  <si>
    <t>AM</t>
  </si>
  <si>
    <t>NAMKEEN</t>
  </si>
  <si>
    <t>BISCUIT</t>
  </si>
  <si>
    <t>TOTEL</t>
  </si>
  <si>
    <t>Pradeep tikgyas</t>
  </si>
  <si>
    <t>Prithvi Singh</t>
  </si>
  <si>
    <t>S-1</t>
  </si>
  <si>
    <t>Sajiv Pillai</t>
  </si>
  <si>
    <t>Kapil Sharma</t>
  </si>
  <si>
    <t>Excutive</t>
  </si>
  <si>
    <t>Brajesh Kumar</t>
  </si>
  <si>
    <t>Asstt.Manager</t>
  </si>
  <si>
    <t>E-2</t>
  </si>
  <si>
    <t xml:space="preserve">Himanshu </t>
  </si>
  <si>
    <t>Deo/F</t>
  </si>
  <si>
    <t>E-0</t>
  </si>
  <si>
    <t>Hitesh Kumar Yadav</t>
  </si>
  <si>
    <t>HM-05</t>
  </si>
  <si>
    <t>Sunny Ramga</t>
  </si>
  <si>
    <t>Hospitality</t>
  </si>
  <si>
    <t>Hospitality Monitor</t>
  </si>
  <si>
    <t>HM-03</t>
  </si>
  <si>
    <t>Naresh Batham</t>
  </si>
  <si>
    <t>HM</t>
  </si>
  <si>
    <t>Shudhir Kumar</t>
  </si>
  <si>
    <t>HM-02</t>
  </si>
  <si>
    <t>Mushir</t>
  </si>
  <si>
    <t>DGM</t>
  </si>
  <si>
    <t>NIL</t>
  </si>
  <si>
    <t>E-4</t>
  </si>
  <si>
    <t>Anand Kumar Shukla</t>
  </si>
  <si>
    <t>Nangloi</t>
  </si>
  <si>
    <t>VO</t>
  </si>
  <si>
    <t>ASStt.Supervisor</t>
  </si>
  <si>
    <t>Asstt. Supervisor</t>
  </si>
  <si>
    <t>Tfc/NdLS</t>
  </si>
  <si>
    <t>500</t>
  </si>
  <si>
    <t>MCS</t>
  </si>
  <si>
    <t>AGM/HRD</t>
  </si>
  <si>
    <t>Sanjeev Panaik</t>
  </si>
  <si>
    <t>Asst.Sup.</t>
  </si>
  <si>
    <t>S K SHOLA(deactivate)</t>
  </si>
  <si>
    <t>`</t>
  </si>
  <si>
    <t>DEACTIVATE</t>
  </si>
  <si>
    <t>Aman Kumar</t>
  </si>
  <si>
    <t>Rajesh kumar</t>
  </si>
  <si>
    <t>Payal Mathur</t>
  </si>
  <si>
    <t>Rajender singh</t>
  </si>
  <si>
    <t>Sunil KUmar</t>
  </si>
  <si>
    <t>Nitin Dobriyal</t>
  </si>
  <si>
    <t>H Kunal</t>
  </si>
  <si>
    <t>FF</t>
  </si>
  <si>
    <t>Trustely R. Mark</t>
  </si>
  <si>
    <t>Asst. Sup.</t>
  </si>
  <si>
    <t>DLI/Area</t>
  </si>
  <si>
    <t>Manoj Kumar Sharma</t>
  </si>
  <si>
    <t>CRM CELL</t>
  </si>
  <si>
    <t>22477-78</t>
  </si>
  <si>
    <t>vande Bharat</t>
  </si>
  <si>
    <t>Train</t>
  </si>
  <si>
    <t>22439-40</t>
  </si>
  <si>
    <t>22435-46</t>
  </si>
  <si>
    <t>22415-16</t>
  </si>
  <si>
    <t>Manoranjan Dinkar</t>
  </si>
  <si>
    <t>Ajay Kumar</t>
  </si>
  <si>
    <t>Madhumita Chtterjee</t>
  </si>
  <si>
    <t xml:space="preserve">Virender kumar </t>
  </si>
  <si>
    <t>Sn.</t>
  </si>
  <si>
    <t>EMP/Code</t>
  </si>
  <si>
    <t>Designation</t>
  </si>
  <si>
    <t>Dept.</t>
  </si>
  <si>
    <t>Grade</t>
  </si>
  <si>
    <t xml:space="preserve">Entitelment </t>
  </si>
  <si>
    <t>Roaming Charges</t>
  </si>
  <si>
    <t>CUG number</t>
  </si>
  <si>
    <t>Anand Kumar ajha</t>
  </si>
  <si>
    <t>Shyamvir singh</t>
  </si>
  <si>
    <t>sandeep shrivastava</t>
  </si>
  <si>
    <t>Jitendra Tomar</t>
  </si>
  <si>
    <t xml:space="preserve">Deepshika </t>
  </si>
  <si>
    <t>Vinay Swaroop (Deactivated)</t>
  </si>
  <si>
    <t>Mustak Khan</t>
  </si>
  <si>
    <t>Pammi Kumar (Deactivated )</t>
  </si>
  <si>
    <t>Hitesh Kathpalia (Deactivated)</t>
  </si>
  <si>
    <t>Ravinder Kumar Saini Deactivated)</t>
  </si>
  <si>
    <t>Vineet Tiwari</t>
  </si>
  <si>
    <t>Sandeep</t>
  </si>
  <si>
    <t>Natwar Singh</t>
  </si>
  <si>
    <t xml:space="preserve">Prince kumar </t>
  </si>
  <si>
    <t>DEO/RNP</t>
  </si>
  <si>
    <t>Mayank Khana</t>
  </si>
  <si>
    <t>Pankaj Mehra</t>
  </si>
  <si>
    <t>kavita Sharma</t>
  </si>
  <si>
    <t>Rakesh Roshan</t>
  </si>
  <si>
    <t>Rachna Das</t>
  </si>
  <si>
    <t>Alik</t>
  </si>
  <si>
    <t>De0</t>
  </si>
  <si>
    <t>finance</t>
  </si>
  <si>
    <t>Abdul Ghani</t>
  </si>
  <si>
    <t>DCS</t>
  </si>
  <si>
    <t>Corprate office</t>
  </si>
  <si>
    <t>Amit Kaushik (deactivate)</t>
  </si>
  <si>
    <t>coroporate office</t>
  </si>
  <si>
    <t>Prashant Mehta ( Deactovated)</t>
  </si>
  <si>
    <t>Mobile</t>
  </si>
  <si>
    <t>Rajdhani Shatadi</t>
  </si>
  <si>
    <t>Naveen Dixit</t>
  </si>
  <si>
    <t>GGM</t>
  </si>
  <si>
    <t>TRANSFERRED STAFFF</t>
  </si>
  <si>
    <t>R K chand</t>
  </si>
  <si>
    <t>DCS/Co</t>
  </si>
  <si>
    <t>GGM/CO</t>
  </si>
  <si>
    <t>JGM/LKO</t>
  </si>
  <si>
    <t>CUG  NO.</t>
  </si>
  <si>
    <t>SN.</t>
  </si>
  <si>
    <t>CO</t>
  </si>
  <si>
    <t xml:space="preserve">R K choudhary </t>
  </si>
  <si>
    <t>sunil Beniwal</t>
  </si>
  <si>
    <t>E-8</t>
  </si>
  <si>
    <t>Nz</t>
  </si>
  <si>
    <t>kamlesh kumar pandey</t>
  </si>
  <si>
    <t>GADIRCTC020</t>
  </si>
  <si>
    <t>Abhijeet</t>
  </si>
  <si>
    <t>Yugti</t>
  </si>
  <si>
    <t>Mohommad Rafi</t>
  </si>
  <si>
    <t>Vishal Kumar</t>
  </si>
  <si>
    <t>Aslam ahmad</t>
  </si>
  <si>
    <t>static</t>
  </si>
  <si>
    <t>Ratan Singh</t>
  </si>
  <si>
    <r>
      <t>surrender the CUG number </t>
    </r>
    <r>
      <rPr>
        <sz val="12"/>
        <color rgb="FF005A95"/>
        <rFont val="Arial"/>
        <family val="2"/>
      </rPr>
      <t>8287930756</t>
    </r>
    <r>
      <rPr>
        <sz val="12"/>
        <color rgb="FF000000"/>
        <rFont val="Arial"/>
        <family val="2"/>
      </rPr>
      <t> </t>
    </r>
  </si>
  <si>
    <t>Plan</t>
  </si>
  <si>
    <t>Vipin kumar</t>
  </si>
  <si>
    <t>Anil Sharma</t>
  </si>
  <si>
    <t>Asgar Aziz Beg</t>
  </si>
  <si>
    <t>Deactivate</t>
  </si>
  <si>
    <t xml:space="preserve"> </t>
  </si>
  <si>
    <t>Garrima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</si>
</sst>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 * #,##0.00_ ;_ * \-#,##0.00_ ;_ * &quot;-&quot;??_ ;_ @_ "/>
    <numFmt numFmtId="165" formatCode="[$-409]d/mmm/yy;@"/>
    <numFmt numFmtId="166" formatCode="0.0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1"/>
      <color theme="10"/>
      <name val="Calibri"/>
      <family val="2"/>
    </font>
    <font>
      <b/>
      <sz val="10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5A9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/>
    <xf numFmtId="0" fontId="3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</cellStyleXfs>
  <cellXfs count="153">
    <xf numFmtId="0" fontId="0" fillId="0" borderId="0" xfId="0"/>
    <xf numFmtId="0" fontId="2" fillId="3" borderId="1" xfId="1" quotePrefix="1" applyFont="1" applyFill="1" applyBorder="1" applyAlignment="1">
      <alignment horizontal="center"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/>
    </xf>
    <xf numFmtId="0" fontId="2" fillId="3" borderId="1" xfId="0" quotePrefix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/>
    </xf>
    <xf numFmtId="2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0" fontId="2" fillId="3" borderId="1" xfId="2" applyNumberFormat="1" applyFont="1" applyFill="1" applyBorder="1" applyAlignment="1" applyProtection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3" borderId="1" xfId="3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top"/>
    </xf>
    <xf numFmtId="0" fontId="2" fillId="3" borderId="1" xfId="1" quotePrefix="1" applyFont="1" applyFill="1" applyBorder="1" applyAlignment="1">
      <alignment horizontal="center" vertical="center"/>
    </xf>
    <xf numFmtId="0" fontId="4" fillId="3" borderId="1" xfId="1" quotePrefix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1" fillId="0" borderId="7" xfId="0" applyFont="1" applyBorder="1" applyAlignment="1">
      <alignment horizontal="center"/>
    </xf>
    <xf numFmtId="0" fontId="1" fillId="0" borderId="7" xfId="0" applyFont="1" applyBorder="1"/>
    <xf numFmtId="0" fontId="0" fillId="0" borderId="7" xfId="0" applyBorder="1"/>
    <xf numFmtId="0" fontId="1" fillId="3" borderId="7" xfId="0" applyFont="1" applyFill="1" applyBorder="1" applyAlignment="1">
      <alignment wrapText="1"/>
    </xf>
    <xf numFmtId="0" fontId="1" fillId="0" borderId="7" xfId="0" applyFont="1" applyBorder="1" applyAlignment="1">
      <alignment wrapText="1"/>
    </xf>
    <xf numFmtId="2" fontId="1" fillId="0" borderId="1" xfId="0" applyNumberFormat="1" applyFont="1" applyBorder="1" applyAlignment="1">
      <alignment horizontal="center"/>
    </xf>
    <xf numFmtId="2" fontId="2" fillId="3" borderId="1" xfId="0" applyNumberFormat="1" applyFont="1" applyFill="1" applyBorder="1" applyAlignment="1">
      <alignment vertical="center"/>
    </xf>
    <xf numFmtId="166" fontId="2" fillId="3" borderId="3" xfId="0" applyNumberFormat="1" applyFont="1" applyFill="1" applyBorder="1" applyAlignment="1">
      <alignment vertical="center"/>
    </xf>
    <xf numFmtId="2" fontId="2" fillId="3" borderId="1" xfId="0" applyNumberFormat="1" applyFont="1" applyFill="1" applyBorder="1"/>
    <xf numFmtId="2" fontId="2" fillId="3" borderId="3" xfId="0" applyNumberFormat="1" applyFont="1" applyFill="1" applyBorder="1"/>
    <xf numFmtId="2" fontId="2" fillId="3" borderId="3" xfId="0" applyNumberFormat="1" applyFont="1" applyFill="1" applyBorder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wrapText="1"/>
    </xf>
    <xf numFmtId="0" fontId="7" fillId="0" borderId="0" xfId="0" applyFont="1" applyAlignment="1">
      <alignment vertical="center"/>
    </xf>
    <xf numFmtId="2" fontId="7" fillId="0" borderId="0" xfId="0" applyNumberFormat="1" applyFont="1" applyAlignment="1">
      <alignment wrapText="1"/>
    </xf>
    <xf numFmtId="0" fontId="7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7" fillId="0" borderId="1" xfId="0" applyFont="1" applyBorder="1"/>
    <xf numFmtId="0" fontId="7" fillId="3" borderId="0" xfId="0" applyFont="1" applyFill="1"/>
    <xf numFmtId="0" fontId="11" fillId="3" borderId="7" xfId="0" applyFont="1" applyFill="1" applyBorder="1" applyAlignment="1">
      <alignment horizontal="center"/>
    </xf>
    <xf numFmtId="0" fontId="11" fillId="3" borderId="7" xfId="0" applyFont="1" applyFill="1" applyBorder="1" applyAlignment="1">
      <alignment horizontal="center" wrapText="1"/>
    </xf>
    <xf numFmtId="2" fontId="7" fillId="0" borderId="1" xfId="0" applyNumberFormat="1" applyFont="1" applyBorder="1"/>
    <xf numFmtId="0" fontId="14" fillId="0" borderId="1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7" fillId="0" borderId="1" xfId="0" applyFont="1" applyBorder="1" applyAlignment="1">
      <alignment horizontal="left" vertical="center" wrapText="1"/>
    </xf>
    <xf numFmtId="0" fontId="2" fillId="3" borderId="1" xfId="4" applyFont="1" applyFill="1" applyBorder="1" applyAlignment="1">
      <alignment horizontal="center" vertical="center"/>
    </xf>
    <xf numFmtId="0" fontId="2" fillId="3" borderId="1" xfId="4" applyFont="1" applyFill="1" applyBorder="1" applyAlignment="1">
      <alignment horizontal="center" vertical="center" wrapText="1"/>
    </xf>
    <xf numFmtId="0" fontId="0" fillId="5" borderId="0" xfId="0" applyFill="1"/>
    <xf numFmtId="43" fontId="0" fillId="0" borderId="0" xfId="5" applyFont="1"/>
    <xf numFmtId="43" fontId="0" fillId="0" borderId="0" xfId="0" applyNumberFormat="1"/>
    <xf numFmtId="0" fontId="4" fillId="3" borderId="1" xfId="0" quotePrefix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center"/>
    </xf>
    <xf numFmtId="0" fontId="0" fillId="3" borderId="0" xfId="0" applyFill="1"/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3" fontId="0" fillId="3" borderId="0" xfId="0" applyNumberFormat="1" applyFill="1"/>
    <xf numFmtId="0" fontId="1" fillId="3" borderId="1" xfId="0" applyFont="1" applyFill="1" applyBorder="1"/>
    <xf numFmtId="0" fontId="17" fillId="0" borderId="1" xfId="0" quotePrefix="1" applyFont="1" applyBorder="1" applyAlignment="1">
      <alignment horizontal="left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/>
    </xf>
    <xf numFmtId="0" fontId="2" fillId="5" borderId="1" xfId="0" quotePrefix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/>
    </xf>
    <xf numFmtId="0" fontId="2" fillId="5" borderId="1" xfId="1" applyFont="1" applyFill="1" applyBorder="1" applyAlignment="1">
      <alignment horizontal="center" vertical="center"/>
    </xf>
    <xf numFmtId="2" fontId="0" fillId="0" borderId="0" xfId="0" applyNumberFormat="1"/>
    <xf numFmtId="0" fontId="17" fillId="0" borderId="1" xfId="0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0" fillId="3" borderId="1" xfId="0" applyFill="1" applyBorder="1"/>
    <xf numFmtId="2" fontId="1" fillId="3" borderId="1" xfId="0" applyNumberFormat="1" applyFont="1" applyFill="1" applyBorder="1" applyAlignment="1">
      <alignment horizontal="center"/>
    </xf>
    <xf numFmtId="0" fontId="2" fillId="3" borderId="1" xfId="2" applyFont="1" applyFill="1" applyBorder="1" applyAlignment="1" applyProtection="1">
      <alignment horizontal="center" vertical="center"/>
    </xf>
    <xf numFmtId="0" fontId="7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3" fontId="0" fillId="4" borderId="0" xfId="5" applyFont="1" applyFill="1"/>
    <xf numFmtId="43" fontId="0" fillId="4" borderId="0" xfId="0" applyNumberFormat="1" applyFill="1"/>
    <xf numFmtId="0" fontId="0" fillId="4" borderId="0" xfId="0" applyFill="1"/>
    <xf numFmtId="0" fontId="7" fillId="3" borderId="0" xfId="0" applyFont="1" applyFill="1" applyAlignment="1">
      <alignment wrapText="1"/>
    </xf>
    <xf numFmtId="43" fontId="0" fillId="3" borderId="0" xfId="5" applyFont="1" applyFill="1"/>
    <xf numFmtId="0" fontId="5" fillId="0" borderId="0" xfId="2" applyAlignment="1" applyProtection="1">
      <alignment vertical="center" wrapText="1"/>
    </xf>
    <xf numFmtId="0" fontId="2" fillId="2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6" fillId="4" borderId="1" xfId="0" quotePrefix="1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0" fillId="0" borderId="0" xfId="0" applyFont="1"/>
    <xf numFmtId="0" fontId="1" fillId="3" borderId="1" xfId="0" applyFont="1" applyFill="1" applyBorder="1" applyAlignment="1">
      <alignment wrapText="1"/>
    </xf>
    <xf numFmtId="0" fontId="9" fillId="3" borderId="1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1" xfId="0" quotePrefix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</cellXfs>
  <cellStyles count="7">
    <cellStyle name=" Task]_x000d__x000a_TaskName=Scan At_x000d__x000a_TaskID=3_x000d__x000a_WorkstationName=SmarTone_x000d__x000a_LastExecuted=0_x000d__x000a_LastSt" xfId="3" xr:uid="{00000000-0005-0000-0000-000000000000}"/>
    <cellStyle name="Comma" xfId="5" builtinId="3"/>
    <cellStyle name="Comma 2" xfId="6" xr:uid="{00000000-0005-0000-0000-000002000000}"/>
    <cellStyle name="Hyperlink" xfId="2" builtinId="8"/>
    <cellStyle name="Normal" xfId="0" builtinId="0"/>
    <cellStyle name="Normal 3" xfId="4" xr:uid="{00000000-0005-0000-0000-000005000000}"/>
    <cellStyle name="Normal_BOS_03_2012_BOS and MSS Aug-12" xfId="1" xr:uid="{00000000-0005-0000-0000-000006000000}"/>
  </cellStyles>
  <dxfs count="39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578"/>
  <sheetViews>
    <sheetView tabSelected="1" topLeftCell="A232" zoomScaleNormal="100" workbookViewId="0">
      <selection activeCell="R246" sqref="R246"/>
    </sheetView>
  </sheetViews>
  <sheetFormatPr defaultRowHeight="15" x14ac:dyDescent="0.25"/>
  <cols>
    <col min="1" max="1" width="4.5703125" bestFit="1" customWidth="1"/>
    <col min="2" max="2" width="10.42578125" bestFit="1" customWidth="1"/>
    <col min="3" max="3" width="17.28515625" bestFit="1" customWidth="1"/>
    <col min="4" max="4" width="11" bestFit="1" customWidth="1"/>
    <col min="5" max="5" width="9.85546875" customWidth="1"/>
    <col min="6" max="6" width="11.140625" customWidth="1"/>
    <col min="7" max="7" width="14.140625" customWidth="1"/>
    <col min="8" max="8" width="12.28515625" bestFit="1" customWidth="1"/>
    <col min="9" max="9" width="12" customWidth="1"/>
    <col min="10" max="10" width="11.85546875" customWidth="1"/>
    <col min="11" max="11" width="16" customWidth="1"/>
    <col min="12" max="12" width="20.5703125" customWidth="1"/>
    <col min="13" max="13" width="16.140625" customWidth="1"/>
    <col min="14" max="14" width="8.85546875" style="77" bestFit="1" customWidth="1"/>
    <col min="15" max="15" width="8.5703125" bestFit="1" customWidth="1"/>
    <col min="16" max="16" width="8.7109375" bestFit="1" customWidth="1"/>
    <col min="17" max="17" width="15.28515625" bestFit="1" customWidth="1"/>
    <col min="18" max="18" width="43" customWidth="1"/>
  </cols>
  <sheetData>
    <row r="1" spans="1:19" ht="29.25" customHeight="1" x14ac:dyDescent="0.25">
      <c r="N1" s="84"/>
    </row>
    <row r="2" spans="1:19" x14ac:dyDescent="0.25">
      <c r="A2" s="102" t="s">
        <v>437</v>
      </c>
      <c r="B2" s="102" t="s">
        <v>438</v>
      </c>
      <c r="C2" s="102" t="s">
        <v>0</v>
      </c>
      <c r="D2" s="102"/>
      <c r="E2" s="102" t="s">
        <v>439</v>
      </c>
      <c r="F2" s="102" t="s">
        <v>440</v>
      </c>
      <c r="G2" s="102" t="s">
        <v>441</v>
      </c>
      <c r="H2" s="102"/>
      <c r="I2" s="102"/>
      <c r="J2" s="102"/>
      <c r="K2" s="102" t="s">
        <v>442</v>
      </c>
      <c r="L2" s="102" t="s">
        <v>443</v>
      </c>
      <c r="M2" s="102" t="s">
        <v>444</v>
      </c>
      <c r="N2" s="102"/>
      <c r="O2" s="102"/>
      <c r="P2" s="102"/>
    </row>
    <row r="3" spans="1:19" s="114" customFormat="1" x14ac:dyDescent="0.25">
      <c r="A3" s="111">
        <v>1</v>
      </c>
      <c r="B3" s="86" t="s">
        <v>398</v>
      </c>
      <c r="C3" s="85" t="s">
        <v>8</v>
      </c>
      <c r="D3" s="86"/>
      <c r="E3" s="85" t="s">
        <v>398</v>
      </c>
      <c r="F3" s="86" t="s">
        <v>3</v>
      </c>
      <c r="G3" s="86"/>
      <c r="H3" s="86" t="s">
        <v>5</v>
      </c>
      <c r="I3" s="85" t="s">
        <v>6</v>
      </c>
      <c r="J3" s="85" t="s">
        <v>7</v>
      </c>
      <c r="K3" s="86">
        <v>500</v>
      </c>
      <c r="L3" s="90"/>
      <c r="M3" s="86">
        <v>8287930153</v>
      </c>
      <c r="N3" s="86">
        <v>67</v>
      </c>
      <c r="O3" s="90">
        <f t="shared" ref="O3:O69" si="0">L3+N3</f>
        <v>67</v>
      </c>
      <c r="P3" s="91">
        <f t="shared" ref="P3:P68" si="1">O3-K3</f>
        <v>-433</v>
      </c>
      <c r="Q3" s="112"/>
      <c r="R3" s="113"/>
      <c r="S3" s="113"/>
    </row>
    <row r="4" spans="1:19" ht="24" x14ac:dyDescent="0.25">
      <c r="A4" s="4">
        <v>2</v>
      </c>
      <c r="B4" s="5"/>
      <c r="C4" s="3" t="s">
        <v>425</v>
      </c>
      <c r="D4" s="5"/>
      <c r="E4" s="3" t="s">
        <v>469</v>
      </c>
      <c r="F4" s="5" t="s">
        <v>3</v>
      </c>
      <c r="G4" s="5" t="s">
        <v>469</v>
      </c>
      <c r="H4" s="5" t="s">
        <v>5</v>
      </c>
      <c r="I4" s="3" t="s">
        <v>6</v>
      </c>
      <c r="J4" s="8" t="s">
        <v>470</v>
      </c>
      <c r="K4" s="5">
        <v>5000</v>
      </c>
      <c r="L4" s="6"/>
      <c r="M4" s="86">
        <v>8287930600</v>
      </c>
      <c r="N4" s="5">
        <v>125</v>
      </c>
      <c r="O4" s="6">
        <f>L4+N4</f>
        <v>125</v>
      </c>
      <c r="P4" s="7">
        <f t="shared" si="1"/>
        <v>-4875</v>
      </c>
      <c r="Q4" s="78"/>
      <c r="R4" s="79"/>
      <c r="S4" s="79"/>
    </row>
    <row r="5" spans="1:19" x14ac:dyDescent="0.25">
      <c r="A5" s="4">
        <v>3</v>
      </c>
      <c r="B5" s="101">
        <v>2490</v>
      </c>
      <c r="C5" s="3" t="s">
        <v>502</v>
      </c>
      <c r="D5" s="5"/>
      <c r="E5" s="3" t="s">
        <v>11</v>
      </c>
      <c r="F5" s="5" t="s">
        <v>12</v>
      </c>
      <c r="G5" s="5" t="s">
        <v>13</v>
      </c>
      <c r="H5" s="5" t="s">
        <v>5</v>
      </c>
      <c r="I5" s="3" t="s">
        <v>6</v>
      </c>
      <c r="J5" s="8" t="s">
        <v>10</v>
      </c>
      <c r="K5" s="5">
        <v>4000</v>
      </c>
      <c r="L5" s="6"/>
      <c r="M5" s="86">
        <v>8287930602</v>
      </c>
      <c r="N5" s="5">
        <v>125</v>
      </c>
      <c r="O5" s="6">
        <f t="shared" si="0"/>
        <v>125</v>
      </c>
      <c r="P5" s="7">
        <f t="shared" si="1"/>
        <v>-3875</v>
      </c>
      <c r="Q5" s="78"/>
      <c r="R5" s="79"/>
      <c r="S5" s="79"/>
    </row>
    <row r="6" spans="1:19" x14ac:dyDescent="0.25">
      <c r="A6" s="4">
        <v>4</v>
      </c>
      <c r="B6" s="5">
        <v>8570</v>
      </c>
      <c r="C6" s="3" t="s">
        <v>14</v>
      </c>
      <c r="D6" s="5"/>
      <c r="E6" s="3" t="s">
        <v>15</v>
      </c>
      <c r="F6" s="5" t="s">
        <v>3</v>
      </c>
      <c r="G6" s="5" t="s">
        <v>16</v>
      </c>
      <c r="H6" s="9" t="s">
        <v>5</v>
      </c>
      <c r="I6" s="10" t="s">
        <v>6</v>
      </c>
      <c r="J6" s="3" t="s">
        <v>17</v>
      </c>
      <c r="K6" s="5">
        <v>500</v>
      </c>
      <c r="L6" s="6"/>
      <c r="M6" s="86">
        <v>8287930603</v>
      </c>
      <c r="N6" s="5">
        <v>67</v>
      </c>
      <c r="O6" s="6">
        <f t="shared" si="0"/>
        <v>67</v>
      </c>
      <c r="P6" s="7">
        <f t="shared" si="1"/>
        <v>-433</v>
      </c>
      <c r="Q6" s="78"/>
      <c r="R6" s="79"/>
      <c r="S6" s="79"/>
    </row>
    <row r="7" spans="1:19" ht="29.25" customHeight="1" x14ac:dyDescent="0.25">
      <c r="A7" s="4">
        <v>5</v>
      </c>
      <c r="B7" s="5">
        <v>2604</v>
      </c>
      <c r="C7" s="3" t="s">
        <v>323</v>
      </c>
      <c r="D7" s="5"/>
      <c r="E7" s="3" t="s">
        <v>18</v>
      </c>
      <c r="F7" s="9" t="s">
        <v>3</v>
      </c>
      <c r="G7" s="5" t="s">
        <v>4</v>
      </c>
      <c r="H7" s="9" t="s">
        <v>5</v>
      </c>
      <c r="I7" s="10" t="s">
        <v>6</v>
      </c>
      <c r="J7" s="3" t="s">
        <v>19</v>
      </c>
      <c r="K7" s="5">
        <v>4000</v>
      </c>
      <c r="L7" s="6"/>
      <c r="M7" s="86">
        <v>8287930609</v>
      </c>
      <c r="N7" s="5">
        <v>125</v>
      </c>
      <c r="O7" s="6">
        <v>125</v>
      </c>
      <c r="P7" s="7">
        <f t="shared" si="1"/>
        <v>-3875</v>
      </c>
      <c r="Q7" s="78"/>
      <c r="R7" s="79"/>
      <c r="S7" s="79"/>
    </row>
    <row r="8" spans="1:19" ht="24" x14ac:dyDescent="0.25">
      <c r="A8" s="4">
        <v>6</v>
      </c>
      <c r="B8" s="5">
        <v>1843</v>
      </c>
      <c r="C8" s="3" t="s">
        <v>450</v>
      </c>
      <c r="D8" s="5"/>
      <c r="E8" s="3" t="s">
        <v>21</v>
      </c>
      <c r="F8" s="5" t="s">
        <v>3</v>
      </c>
      <c r="G8" s="5" t="s">
        <v>4</v>
      </c>
      <c r="H8" s="5" t="s">
        <v>5</v>
      </c>
      <c r="I8" s="3" t="s">
        <v>6</v>
      </c>
      <c r="J8" s="8" t="s">
        <v>7</v>
      </c>
      <c r="K8" s="5">
        <v>4000</v>
      </c>
      <c r="L8" s="6"/>
      <c r="M8" s="86">
        <v>8287930610</v>
      </c>
      <c r="N8" s="5">
        <v>0</v>
      </c>
      <c r="O8" s="6">
        <f t="shared" si="0"/>
        <v>0</v>
      </c>
      <c r="P8" s="7">
        <f t="shared" si="1"/>
        <v>-4000</v>
      </c>
      <c r="Q8" s="78"/>
      <c r="R8" s="79"/>
      <c r="S8" s="79"/>
    </row>
    <row r="9" spans="1:19" x14ac:dyDescent="0.25">
      <c r="A9" s="4">
        <v>7</v>
      </c>
      <c r="B9" s="5">
        <v>19</v>
      </c>
      <c r="C9" s="3" t="s">
        <v>436</v>
      </c>
      <c r="D9" s="5"/>
      <c r="E9" s="3" t="s">
        <v>11</v>
      </c>
      <c r="F9" s="5" t="s">
        <v>3</v>
      </c>
      <c r="G9" s="5" t="s">
        <v>202</v>
      </c>
      <c r="H9" s="5"/>
      <c r="I9" s="3"/>
      <c r="J9" s="8"/>
      <c r="K9" s="5">
        <v>4000</v>
      </c>
      <c r="L9" s="6"/>
      <c r="M9" s="86">
        <v>8287930611</v>
      </c>
      <c r="N9" s="5">
        <v>125</v>
      </c>
      <c r="O9" s="6">
        <f t="shared" si="0"/>
        <v>125</v>
      </c>
      <c r="P9" s="7">
        <f t="shared" si="1"/>
        <v>-3875</v>
      </c>
      <c r="Q9" s="78"/>
      <c r="R9" s="79"/>
      <c r="S9" s="79"/>
    </row>
    <row r="10" spans="1:19" ht="24" x14ac:dyDescent="0.25">
      <c r="A10" s="4">
        <v>8</v>
      </c>
      <c r="B10" s="5">
        <v>5555</v>
      </c>
      <c r="C10" s="3" t="s">
        <v>22</v>
      </c>
      <c r="D10" s="5"/>
      <c r="E10" s="3" t="s">
        <v>403</v>
      </c>
      <c r="F10" s="9" t="s">
        <v>3</v>
      </c>
      <c r="G10" s="5" t="s">
        <v>376</v>
      </c>
      <c r="H10" s="9" t="s">
        <v>5</v>
      </c>
      <c r="I10" s="10" t="s">
        <v>6</v>
      </c>
      <c r="J10" s="3" t="s">
        <v>37</v>
      </c>
      <c r="K10" s="5">
        <v>1000</v>
      </c>
      <c r="L10" s="6"/>
      <c r="M10" s="86">
        <v>8287930612</v>
      </c>
      <c r="N10" s="5">
        <v>67</v>
      </c>
      <c r="O10" s="6">
        <v>67</v>
      </c>
      <c r="P10" s="7">
        <f t="shared" si="1"/>
        <v>-933</v>
      </c>
      <c r="Q10" s="78"/>
      <c r="R10" s="79"/>
      <c r="S10" s="79"/>
    </row>
    <row r="11" spans="1:19" ht="25.5" x14ac:dyDescent="0.25">
      <c r="A11" s="4">
        <v>9</v>
      </c>
      <c r="B11" s="100">
        <v>4950</v>
      </c>
      <c r="C11" s="74" t="s">
        <v>386</v>
      </c>
      <c r="D11" s="5"/>
      <c r="E11" s="3" t="s">
        <v>379</v>
      </c>
      <c r="F11" s="5" t="s">
        <v>26</v>
      </c>
      <c r="G11" s="5" t="s">
        <v>385</v>
      </c>
      <c r="H11" s="5" t="s">
        <v>5</v>
      </c>
      <c r="I11" s="3" t="s">
        <v>6</v>
      </c>
      <c r="J11" s="3" t="s">
        <v>7</v>
      </c>
      <c r="K11" s="5">
        <v>2000</v>
      </c>
      <c r="L11" s="6"/>
      <c r="M11" s="86">
        <v>8287930613</v>
      </c>
      <c r="N11" s="5">
        <v>99</v>
      </c>
      <c r="O11" s="6">
        <f t="shared" si="0"/>
        <v>99</v>
      </c>
      <c r="P11" s="7">
        <f t="shared" si="1"/>
        <v>-1901</v>
      </c>
      <c r="Q11" s="78"/>
      <c r="R11" s="132" t="s">
        <v>499</v>
      </c>
      <c r="S11" s="79"/>
    </row>
    <row r="12" spans="1:19" x14ac:dyDescent="0.25">
      <c r="A12" s="4">
        <v>10</v>
      </c>
      <c r="B12" s="5" t="s">
        <v>398</v>
      </c>
      <c r="C12" s="3" t="s">
        <v>492</v>
      </c>
      <c r="D12" s="5"/>
      <c r="E12" s="3" t="s">
        <v>328</v>
      </c>
      <c r="F12" s="5" t="s">
        <v>329</v>
      </c>
      <c r="G12" s="5" t="s">
        <v>119</v>
      </c>
      <c r="H12" s="5" t="s">
        <v>328</v>
      </c>
      <c r="I12" s="3" t="s">
        <v>6</v>
      </c>
      <c r="J12" s="8" t="s">
        <v>12</v>
      </c>
      <c r="K12" s="5">
        <v>500</v>
      </c>
      <c r="L12" s="6"/>
      <c r="M12" s="86">
        <v>8287930614</v>
      </c>
      <c r="N12" s="5">
        <v>67</v>
      </c>
      <c r="O12" s="6">
        <f t="shared" si="0"/>
        <v>67</v>
      </c>
      <c r="P12" s="7">
        <f t="shared" si="1"/>
        <v>-433</v>
      </c>
      <c r="Q12" s="78"/>
      <c r="R12" s="79"/>
      <c r="S12" s="79"/>
    </row>
    <row r="13" spans="1:19" ht="24" x14ac:dyDescent="0.25">
      <c r="A13" s="4">
        <v>11</v>
      </c>
      <c r="B13" s="5">
        <v>5875</v>
      </c>
      <c r="C13" s="3" t="s">
        <v>27</v>
      </c>
      <c r="D13" s="5"/>
      <c r="E13" s="3" t="s">
        <v>403</v>
      </c>
      <c r="F13" s="5" t="s">
        <v>3</v>
      </c>
      <c r="G13" s="5" t="s">
        <v>376</v>
      </c>
      <c r="H13" s="5" t="s">
        <v>5</v>
      </c>
      <c r="I13" s="3" t="s">
        <v>6</v>
      </c>
      <c r="J13" s="8" t="s">
        <v>148</v>
      </c>
      <c r="K13" s="5">
        <v>1000</v>
      </c>
      <c r="L13" s="6"/>
      <c r="M13" s="86">
        <v>8287930615</v>
      </c>
      <c r="N13" s="5">
        <v>67</v>
      </c>
      <c r="O13" s="6">
        <f t="shared" si="0"/>
        <v>67</v>
      </c>
      <c r="P13" s="7">
        <f t="shared" si="1"/>
        <v>-933</v>
      </c>
      <c r="Q13" s="78"/>
      <c r="R13" s="79"/>
      <c r="S13" s="79"/>
    </row>
    <row r="14" spans="1:19" x14ac:dyDescent="0.25">
      <c r="A14" s="4">
        <v>12</v>
      </c>
      <c r="B14" s="5">
        <v>5326</v>
      </c>
      <c r="C14" s="3" t="s">
        <v>29</v>
      </c>
      <c r="D14" s="5"/>
      <c r="E14" s="3" t="s">
        <v>15</v>
      </c>
      <c r="F14" s="5" t="s">
        <v>3</v>
      </c>
      <c r="G14" s="3" t="s">
        <v>16</v>
      </c>
      <c r="H14" s="5" t="s">
        <v>5</v>
      </c>
      <c r="I14" s="3" t="s">
        <v>6</v>
      </c>
      <c r="J14" s="3" t="s">
        <v>31</v>
      </c>
      <c r="K14" s="5">
        <v>500</v>
      </c>
      <c r="L14" s="6"/>
      <c r="M14" s="86">
        <v>8287930617</v>
      </c>
      <c r="N14" s="5">
        <v>67</v>
      </c>
      <c r="O14" s="6">
        <f t="shared" si="0"/>
        <v>67</v>
      </c>
      <c r="P14" s="7">
        <f t="shared" si="1"/>
        <v>-433</v>
      </c>
      <c r="Q14" s="78"/>
      <c r="R14" s="79"/>
      <c r="S14" s="79"/>
    </row>
    <row r="15" spans="1:19" x14ac:dyDescent="0.25">
      <c r="A15" s="4">
        <v>13</v>
      </c>
      <c r="B15" s="5">
        <v>5932</v>
      </c>
      <c r="C15" s="10" t="s">
        <v>451</v>
      </c>
      <c r="D15" s="5"/>
      <c r="E15" s="3" t="s">
        <v>15</v>
      </c>
      <c r="F15" s="9" t="s">
        <v>3</v>
      </c>
      <c r="G15" s="5" t="s">
        <v>134</v>
      </c>
      <c r="H15" s="9" t="s">
        <v>5</v>
      </c>
      <c r="I15" s="3" t="s">
        <v>6</v>
      </c>
      <c r="J15" s="3" t="s">
        <v>7</v>
      </c>
      <c r="K15" s="5">
        <v>500</v>
      </c>
      <c r="L15" s="6"/>
      <c r="M15" s="86">
        <v>8287930618</v>
      </c>
      <c r="N15" s="5">
        <v>67</v>
      </c>
      <c r="O15" s="6">
        <f t="shared" si="0"/>
        <v>67</v>
      </c>
      <c r="P15" s="7">
        <f t="shared" si="1"/>
        <v>-433</v>
      </c>
      <c r="Q15" s="78"/>
      <c r="R15" s="79"/>
      <c r="S15" s="79"/>
    </row>
    <row r="16" spans="1:19" x14ac:dyDescent="0.25">
      <c r="A16" s="4">
        <v>14</v>
      </c>
      <c r="B16" s="11">
        <v>2582</v>
      </c>
      <c r="C16" s="3" t="s">
        <v>33</v>
      </c>
      <c r="D16" s="5"/>
      <c r="E16" s="3" t="s">
        <v>370</v>
      </c>
      <c r="F16" s="5" t="s">
        <v>12</v>
      </c>
      <c r="G16" s="5" t="s">
        <v>382</v>
      </c>
      <c r="H16" s="5" t="s">
        <v>5</v>
      </c>
      <c r="I16" s="3" t="s">
        <v>6</v>
      </c>
      <c r="J16" s="8" t="s">
        <v>7</v>
      </c>
      <c r="K16" s="5">
        <v>2000</v>
      </c>
      <c r="L16" s="6"/>
      <c r="M16" s="86">
        <v>8287930619</v>
      </c>
      <c r="N16" s="5">
        <v>99</v>
      </c>
      <c r="O16" s="6">
        <f t="shared" si="0"/>
        <v>99</v>
      </c>
      <c r="P16" s="7">
        <f t="shared" si="1"/>
        <v>-1901</v>
      </c>
      <c r="Q16" s="78"/>
      <c r="R16" s="79"/>
      <c r="S16" s="79"/>
    </row>
    <row r="17" spans="1:19" x14ac:dyDescent="0.25">
      <c r="A17" s="4">
        <v>15</v>
      </c>
      <c r="B17" s="5" t="s">
        <v>327</v>
      </c>
      <c r="C17" s="3" t="s">
        <v>330</v>
      </c>
      <c r="D17" s="5"/>
      <c r="E17" s="3" t="s">
        <v>328</v>
      </c>
      <c r="F17" s="5" t="s">
        <v>42</v>
      </c>
      <c r="G17" s="5" t="s">
        <v>119</v>
      </c>
      <c r="H17" s="5" t="s">
        <v>328</v>
      </c>
      <c r="I17" s="3" t="s">
        <v>6</v>
      </c>
      <c r="J17" s="8" t="s">
        <v>7</v>
      </c>
      <c r="K17" s="5">
        <v>500</v>
      </c>
      <c r="L17" s="6"/>
      <c r="M17" s="86">
        <v>8287930620</v>
      </c>
      <c r="N17" s="5">
        <v>67</v>
      </c>
      <c r="O17" s="6">
        <v>67</v>
      </c>
      <c r="P17" s="7">
        <f t="shared" si="1"/>
        <v>-433</v>
      </c>
      <c r="Q17" s="78"/>
      <c r="R17" s="79"/>
      <c r="S17" s="79"/>
    </row>
    <row r="18" spans="1:19" x14ac:dyDescent="0.25">
      <c r="A18" s="4">
        <v>16</v>
      </c>
      <c r="B18" s="5">
        <v>5588</v>
      </c>
      <c r="C18" s="3" t="s">
        <v>35</v>
      </c>
      <c r="D18" s="5"/>
      <c r="E18" s="3" t="s">
        <v>397</v>
      </c>
      <c r="F18" s="5" t="s">
        <v>12</v>
      </c>
      <c r="G18" s="5" t="s">
        <v>399</v>
      </c>
      <c r="H18" s="5" t="s">
        <v>5</v>
      </c>
      <c r="I18" s="3" t="s">
        <v>6</v>
      </c>
      <c r="J18" s="3" t="s">
        <v>7</v>
      </c>
      <c r="K18" s="5">
        <v>3000</v>
      </c>
      <c r="L18" s="6"/>
      <c r="M18" s="86">
        <v>8287930621</v>
      </c>
      <c r="N18" s="5">
        <v>99</v>
      </c>
      <c r="O18" s="6">
        <f t="shared" si="0"/>
        <v>99</v>
      </c>
      <c r="P18" s="7">
        <f t="shared" si="1"/>
        <v>-2901</v>
      </c>
      <c r="Q18" s="78"/>
      <c r="R18" s="79"/>
      <c r="S18" s="79"/>
    </row>
    <row r="19" spans="1:19" ht="24" x14ac:dyDescent="0.25">
      <c r="A19" s="4">
        <v>17</v>
      </c>
      <c r="B19" s="5" t="s">
        <v>327</v>
      </c>
      <c r="C19" s="3" t="s">
        <v>331</v>
      </c>
      <c r="D19" s="5"/>
      <c r="E19" s="3" t="s">
        <v>328</v>
      </c>
      <c r="F19" s="5" t="s">
        <v>42</v>
      </c>
      <c r="G19" s="5" t="s">
        <v>119</v>
      </c>
      <c r="H19" s="5" t="s">
        <v>5</v>
      </c>
      <c r="I19" s="3" t="s">
        <v>6</v>
      </c>
      <c r="J19" s="8" t="s">
        <v>37</v>
      </c>
      <c r="K19" s="5">
        <v>500</v>
      </c>
      <c r="L19" s="6"/>
      <c r="M19" s="86">
        <v>8287930622</v>
      </c>
      <c r="N19" s="5">
        <v>67</v>
      </c>
      <c r="O19" s="6">
        <f t="shared" si="0"/>
        <v>67</v>
      </c>
      <c r="P19" s="7">
        <f t="shared" si="1"/>
        <v>-433</v>
      </c>
      <c r="Q19" s="78"/>
      <c r="R19" s="79"/>
      <c r="S19" s="79"/>
    </row>
    <row r="20" spans="1:19" x14ac:dyDescent="0.25">
      <c r="A20" s="4">
        <v>18</v>
      </c>
      <c r="B20" s="93">
        <v>5928</v>
      </c>
      <c r="C20" s="93" t="s">
        <v>417</v>
      </c>
      <c r="D20" s="92"/>
      <c r="E20" s="93" t="s">
        <v>15</v>
      </c>
      <c r="F20" s="92" t="s">
        <v>3</v>
      </c>
      <c r="G20" s="92" t="s">
        <v>16</v>
      </c>
      <c r="H20" s="92" t="s">
        <v>5</v>
      </c>
      <c r="I20" s="96" t="s">
        <v>6</v>
      </c>
      <c r="J20" s="96" t="s">
        <v>7</v>
      </c>
      <c r="K20" s="92">
        <v>500</v>
      </c>
      <c r="L20" s="94"/>
      <c r="M20" s="86">
        <v>8287930623</v>
      </c>
      <c r="N20" s="92">
        <v>0</v>
      </c>
      <c r="O20" s="94">
        <f t="shared" si="0"/>
        <v>0</v>
      </c>
      <c r="P20" s="95">
        <f t="shared" si="1"/>
        <v>-500</v>
      </c>
      <c r="Q20" s="78"/>
      <c r="R20" s="79"/>
      <c r="S20" s="79"/>
    </row>
    <row r="21" spans="1:19" x14ac:dyDescent="0.25">
      <c r="A21" s="4">
        <v>19</v>
      </c>
      <c r="B21" s="5">
        <v>6476</v>
      </c>
      <c r="C21" s="3" t="s">
        <v>326</v>
      </c>
      <c r="D21" s="5"/>
      <c r="E21" s="3" t="s">
        <v>21</v>
      </c>
      <c r="F21" s="5" t="s">
        <v>12</v>
      </c>
      <c r="G21" s="5" t="s">
        <v>283</v>
      </c>
      <c r="H21" s="5" t="s">
        <v>5</v>
      </c>
      <c r="I21" s="3" t="s">
        <v>6</v>
      </c>
      <c r="J21" s="3" t="s">
        <v>7</v>
      </c>
      <c r="K21" s="5">
        <v>4000</v>
      </c>
      <c r="L21" s="6"/>
      <c r="M21" s="86">
        <v>8287930624</v>
      </c>
      <c r="N21" s="5">
        <v>125</v>
      </c>
      <c r="O21" s="6">
        <f t="shared" si="0"/>
        <v>125</v>
      </c>
      <c r="P21" s="7">
        <f t="shared" si="1"/>
        <v>-3875</v>
      </c>
      <c r="Q21" s="78"/>
      <c r="R21" s="79"/>
      <c r="S21" s="79"/>
    </row>
    <row r="22" spans="1:19" x14ac:dyDescent="0.25">
      <c r="A22" s="4">
        <v>20</v>
      </c>
      <c r="B22" s="3">
        <v>6457</v>
      </c>
      <c r="C22" s="3" t="s">
        <v>493</v>
      </c>
      <c r="D22" s="5"/>
      <c r="E22" s="3" t="s">
        <v>379</v>
      </c>
      <c r="F22" s="5" t="s">
        <v>38</v>
      </c>
      <c r="G22" s="5" t="s">
        <v>385</v>
      </c>
      <c r="H22" s="9" t="s">
        <v>5</v>
      </c>
      <c r="I22" s="10" t="s">
        <v>6</v>
      </c>
      <c r="J22" s="3" t="s">
        <v>7</v>
      </c>
      <c r="K22" s="5">
        <v>2000</v>
      </c>
      <c r="L22" s="6"/>
      <c r="M22" s="86">
        <v>8287930625</v>
      </c>
      <c r="N22" s="5">
        <v>99</v>
      </c>
      <c r="O22" s="6">
        <f t="shared" si="0"/>
        <v>99</v>
      </c>
      <c r="P22" s="7">
        <f t="shared" si="1"/>
        <v>-1901</v>
      </c>
      <c r="Q22" s="78"/>
      <c r="R22" s="79"/>
      <c r="S22" s="79"/>
    </row>
    <row r="23" spans="1:19" ht="24" x14ac:dyDescent="0.25">
      <c r="A23" s="4">
        <v>21</v>
      </c>
      <c r="B23" s="11">
        <v>6571</v>
      </c>
      <c r="C23" s="3" t="s">
        <v>40</v>
      </c>
      <c r="D23" s="5"/>
      <c r="E23" s="3" t="s">
        <v>41</v>
      </c>
      <c r="F23" s="5" t="s">
        <v>42</v>
      </c>
      <c r="G23" s="5" t="s">
        <v>268</v>
      </c>
      <c r="H23" s="5" t="s">
        <v>5</v>
      </c>
      <c r="I23" s="3" t="s">
        <v>6</v>
      </c>
      <c r="J23" s="8" t="s">
        <v>7</v>
      </c>
      <c r="K23" s="5">
        <v>3000</v>
      </c>
      <c r="L23" s="6"/>
      <c r="M23" s="86">
        <v>8287930626</v>
      </c>
      <c r="N23" s="5">
        <v>99</v>
      </c>
      <c r="O23" s="6">
        <f t="shared" si="0"/>
        <v>99</v>
      </c>
      <c r="P23" s="7">
        <f t="shared" si="1"/>
        <v>-2901</v>
      </c>
      <c r="Q23" s="78"/>
      <c r="R23" s="79"/>
      <c r="S23" s="79"/>
    </row>
    <row r="24" spans="1:19" ht="24" x14ac:dyDescent="0.25">
      <c r="A24" s="4">
        <v>22</v>
      </c>
      <c r="B24" s="5">
        <v>6056</v>
      </c>
      <c r="C24" s="3" t="s">
        <v>43</v>
      </c>
      <c r="D24" s="5"/>
      <c r="E24" s="3" t="s">
        <v>44</v>
      </c>
      <c r="F24" s="5" t="s">
        <v>3</v>
      </c>
      <c r="G24" s="5" t="s">
        <v>39</v>
      </c>
      <c r="H24" s="9" t="s">
        <v>5</v>
      </c>
      <c r="I24" s="10" t="s">
        <v>6</v>
      </c>
      <c r="J24" s="3" t="s">
        <v>45</v>
      </c>
      <c r="K24" s="5">
        <v>1000</v>
      </c>
      <c r="L24" s="6"/>
      <c r="M24" s="86">
        <v>8287930627</v>
      </c>
      <c r="N24" s="5">
        <v>99</v>
      </c>
      <c r="O24" s="6">
        <f t="shared" si="0"/>
        <v>99</v>
      </c>
      <c r="P24" s="7">
        <f t="shared" si="1"/>
        <v>-901</v>
      </c>
      <c r="Q24" s="78"/>
      <c r="R24" s="79"/>
      <c r="S24" s="79"/>
    </row>
    <row r="25" spans="1:19" ht="24" x14ac:dyDescent="0.25">
      <c r="A25" s="4">
        <v>23</v>
      </c>
      <c r="B25" s="5">
        <v>5276</v>
      </c>
      <c r="C25" s="3" t="s">
        <v>46</v>
      </c>
      <c r="D25" s="5"/>
      <c r="E25" s="3" t="s">
        <v>44</v>
      </c>
      <c r="F25" s="5" t="s">
        <v>3</v>
      </c>
      <c r="G25" s="5" t="s">
        <v>39</v>
      </c>
      <c r="H25" s="5" t="s">
        <v>5</v>
      </c>
      <c r="I25" s="3" t="s">
        <v>6</v>
      </c>
      <c r="J25" s="3" t="s">
        <v>37</v>
      </c>
      <c r="K25" s="5">
        <v>1000</v>
      </c>
      <c r="L25" s="6"/>
      <c r="M25" s="86">
        <v>8287930628</v>
      </c>
      <c r="N25" s="5">
        <v>99</v>
      </c>
      <c r="O25" s="6">
        <f t="shared" si="0"/>
        <v>99</v>
      </c>
      <c r="P25" s="7">
        <f t="shared" si="1"/>
        <v>-901</v>
      </c>
      <c r="Q25" s="78"/>
      <c r="R25" s="79"/>
      <c r="S25" s="79"/>
    </row>
    <row r="26" spans="1:19" ht="24" x14ac:dyDescent="0.25">
      <c r="A26" s="4">
        <v>24</v>
      </c>
      <c r="B26" s="92">
        <v>6131</v>
      </c>
      <c r="C26" s="93" t="s">
        <v>47</v>
      </c>
      <c r="D26" s="92"/>
      <c r="E26" s="93" t="s">
        <v>15</v>
      </c>
      <c r="F26" s="92" t="s">
        <v>3</v>
      </c>
      <c r="G26" s="92" t="s">
        <v>16</v>
      </c>
      <c r="H26" s="92" t="s">
        <v>5</v>
      </c>
      <c r="I26" s="93" t="s">
        <v>17</v>
      </c>
      <c r="J26" s="93" t="s">
        <v>37</v>
      </c>
      <c r="K26" s="92">
        <v>500</v>
      </c>
      <c r="L26" s="94"/>
      <c r="M26" s="86">
        <v>8287930629</v>
      </c>
      <c r="N26" s="92">
        <v>0</v>
      </c>
      <c r="O26" s="92">
        <v>0</v>
      </c>
      <c r="P26" s="95">
        <f t="shared" si="1"/>
        <v>-500</v>
      </c>
      <c r="Q26" s="78"/>
      <c r="R26" s="79"/>
      <c r="S26" s="79"/>
    </row>
    <row r="27" spans="1:19" ht="24" x14ac:dyDescent="0.25">
      <c r="A27" s="4">
        <v>25</v>
      </c>
      <c r="B27" s="5">
        <v>5007</v>
      </c>
      <c r="C27" s="3" t="s">
        <v>48</v>
      </c>
      <c r="D27" s="5"/>
      <c r="E27" s="3" t="s">
        <v>44</v>
      </c>
      <c r="F27" s="5" t="s">
        <v>3</v>
      </c>
      <c r="G27" s="5" t="s">
        <v>39</v>
      </c>
      <c r="H27" s="5" t="s">
        <v>5</v>
      </c>
      <c r="I27" s="3" t="s">
        <v>6</v>
      </c>
      <c r="J27" s="3" t="s">
        <v>37</v>
      </c>
      <c r="K27" s="5">
        <v>1000</v>
      </c>
      <c r="L27" s="6"/>
      <c r="M27" s="86">
        <v>8287930630</v>
      </c>
      <c r="N27" s="5">
        <v>99</v>
      </c>
      <c r="O27" s="6">
        <f t="shared" si="0"/>
        <v>99</v>
      </c>
      <c r="P27" s="7">
        <f t="shared" si="1"/>
        <v>-901</v>
      </c>
      <c r="Q27" s="78"/>
      <c r="R27" s="79"/>
      <c r="S27" s="79"/>
    </row>
    <row r="28" spans="1:19" x14ac:dyDescent="0.25">
      <c r="A28" s="4">
        <v>26</v>
      </c>
      <c r="B28" s="5">
        <v>5218</v>
      </c>
      <c r="C28" s="3" t="s">
        <v>458</v>
      </c>
      <c r="D28" s="5"/>
      <c r="E28" s="3" t="s">
        <v>459</v>
      </c>
      <c r="F28" s="9" t="s">
        <v>3</v>
      </c>
      <c r="G28" s="5" t="s">
        <v>71</v>
      </c>
      <c r="H28" s="9" t="s">
        <v>5</v>
      </c>
      <c r="I28" s="10" t="s">
        <v>6</v>
      </c>
      <c r="J28" s="3" t="s">
        <v>302</v>
      </c>
      <c r="K28" s="5">
        <v>500</v>
      </c>
      <c r="L28" s="6"/>
      <c r="M28" s="86">
        <v>8287930631</v>
      </c>
      <c r="N28" s="5">
        <v>99</v>
      </c>
      <c r="O28" s="6">
        <f t="shared" si="0"/>
        <v>99</v>
      </c>
      <c r="P28" s="7">
        <f t="shared" si="1"/>
        <v>-401</v>
      </c>
      <c r="Q28" s="78"/>
      <c r="R28" s="79"/>
      <c r="S28" s="79"/>
    </row>
    <row r="29" spans="1:19" ht="24" x14ac:dyDescent="0.25">
      <c r="A29" s="4">
        <v>27</v>
      </c>
      <c r="B29" s="5">
        <v>5035</v>
      </c>
      <c r="C29" s="3" t="s">
        <v>49</v>
      </c>
      <c r="D29" s="5"/>
      <c r="E29" s="3" t="s">
        <v>44</v>
      </c>
      <c r="F29" s="5" t="s">
        <v>3</v>
      </c>
      <c r="G29" s="5" t="s">
        <v>39</v>
      </c>
      <c r="H29" s="5" t="s">
        <v>5</v>
      </c>
      <c r="I29" s="3" t="s">
        <v>6</v>
      </c>
      <c r="J29" s="3" t="s">
        <v>24</v>
      </c>
      <c r="K29" s="5">
        <v>1000</v>
      </c>
      <c r="L29" s="12"/>
      <c r="M29" s="86">
        <v>8287930632</v>
      </c>
      <c r="N29" s="5">
        <v>99</v>
      </c>
      <c r="O29" s="6">
        <f t="shared" si="0"/>
        <v>99</v>
      </c>
      <c r="P29" s="7">
        <f t="shared" si="1"/>
        <v>-901</v>
      </c>
      <c r="Q29" s="78"/>
      <c r="R29" s="79"/>
      <c r="S29" s="79"/>
    </row>
    <row r="30" spans="1:19" x14ac:dyDescent="0.25">
      <c r="A30" s="4">
        <v>28</v>
      </c>
      <c r="B30" s="5" t="s">
        <v>398</v>
      </c>
      <c r="C30" s="3" t="s">
        <v>383</v>
      </c>
      <c r="D30" s="5"/>
      <c r="E30" s="3" t="s">
        <v>384</v>
      </c>
      <c r="F30" s="5" t="s">
        <v>38</v>
      </c>
      <c r="G30" s="5" t="s">
        <v>71</v>
      </c>
      <c r="H30" s="5" t="s">
        <v>5</v>
      </c>
      <c r="I30" s="3" t="s">
        <v>6</v>
      </c>
      <c r="J30" s="3" t="s">
        <v>7</v>
      </c>
      <c r="K30" s="5">
        <v>500</v>
      </c>
      <c r="L30" s="6"/>
      <c r="M30" s="86">
        <v>8287930633</v>
      </c>
      <c r="N30" s="5">
        <v>67</v>
      </c>
      <c r="O30" s="6">
        <f t="shared" si="0"/>
        <v>67</v>
      </c>
      <c r="P30" s="7">
        <f t="shared" si="1"/>
        <v>-433</v>
      </c>
      <c r="Q30" s="78"/>
      <c r="R30" s="79"/>
      <c r="S30" s="79"/>
    </row>
    <row r="31" spans="1:19" ht="24" x14ac:dyDescent="0.25">
      <c r="A31" s="4">
        <v>29</v>
      </c>
      <c r="B31" s="5">
        <v>5285</v>
      </c>
      <c r="C31" s="3" t="s">
        <v>50</v>
      </c>
      <c r="D31" s="9"/>
      <c r="E31" s="3" t="s">
        <v>44</v>
      </c>
      <c r="F31" s="9" t="s">
        <v>3</v>
      </c>
      <c r="G31" s="5" t="s">
        <v>39</v>
      </c>
      <c r="H31" s="9" t="s">
        <v>5</v>
      </c>
      <c r="I31" s="3" t="s">
        <v>6</v>
      </c>
      <c r="J31" s="3" t="s">
        <v>37</v>
      </c>
      <c r="K31" s="5">
        <v>1000</v>
      </c>
      <c r="L31" s="6"/>
      <c r="M31" s="86">
        <v>8287930635</v>
      </c>
      <c r="N31" s="5">
        <v>99</v>
      </c>
      <c r="O31" s="6">
        <f t="shared" si="0"/>
        <v>99</v>
      </c>
      <c r="P31" s="7">
        <f t="shared" si="1"/>
        <v>-901</v>
      </c>
      <c r="Q31" s="78"/>
      <c r="R31" s="79"/>
      <c r="S31" s="79"/>
    </row>
    <row r="32" spans="1:19" ht="24" x14ac:dyDescent="0.25">
      <c r="A32" s="4">
        <v>30</v>
      </c>
      <c r="B32" s="5">
        <v>5262</v>
      </c>
      <c r="C32" s="3" t="s">
        <v>51</v>
      </c>
      <c r="D32" s="5"/>
      <c r="E32" s="3" t="s">
        <v>44</v>
      </c>
      <c r="F32" s="5" t="s">
        <v>3</v>
      </c>
      <c r="G32" s="5" t="s">
        <v>39</v>
      </c>
      <c r="H32" s="5" t="s">
        <v>5</v>
      </c>
      <c r="I32" s="3" t="s">
        <v>52</v>
      </c>
      <c r="J32" s="3" t="s">
        <v>53</v>
      </c>
      <c r="K32" s="5">
        <v>1000</v>
      </c>
      <c r="L32" s="6"/>
      <c r="M32" s="86">
        <v>8287930636</v>
      </c>
      <c r="N32" s="5">
        <v>99</v>
      </c>
      <c r="O32" s="6">
        <f t="shared" si="0"/>
        <v>99</v>
      </c>
      <c r="P32" s="7">
        <f t="shared" si="1"/>
        <v>-901</v>
      </c>
      <c r="Q32" s="78"/>
      <c r="R32" s="79"/>
      <c r="S32" s="79"/>
    </row>
    <row r="33" spans="1:19" x14ac:dyDescent="0.25">
      <c r="A33" s="4">
        <v>31</v>
      </c>
      <c r="B33" s="5">
        <v>4899</v>
      </c>
      <c r="C33" s="10" t="s">
        <v>418</v>
      </c>
      <c r="D33" s="5"/>
      <c r="E33" s="3" t="s">
        <v>379</v>
      </c>
      <c r="F33" s="5" t="s">
        <v>26</v>
      </c>
      <c r="G33" s="5" t="s">
        <v>385</v>
      </c>
      <c r="H33" s="9" t="s">
        <v>5</v>
      </c>
      <c r="I33" s="10" t="s">
        <v>6</v>
      </c>
      <c r="J33" s="3" t="s">
        <v>7</v>
      </c>
      <c r="K33" s="9">
        <v>2000</v>
      </c>
      <c r="L33" s="12"/>
      <c r="M33" s="86">
        <v>8287930637</v>
      </c>
      <c r="N33" s="5">
        <v>99</v>
      </c>
      <c r="O33" s="6">
        <f t="shared" si="0"/>
        <v>99</v>
      </c>
      <c r="P33" s="7">
        <f t="shared" si="1"/>
        <v>-1901</v>
      </c>
      <c r="Q33" s="78"/>
      <c r="R33" s="79"/>
      <c r="S33" s="79"/>
    </row>
    <row r="34" spans="1:19" ht="24" x14ac:dyDescent="0.25">
      <c r="A34" s="4">
        <v>32</v>
      </c>
      <c r="B34" s="5">
        <v>6667</v>
      </c>
      <c r="C34" s="3" t="s">
        <v>457</v>
      </c>
      <c r="D34" s="5"/>
      <c r="E34" s="3" t="s">
        <v>54</v>
      </c>
      <c r="F34" s="5" t="s">
        <v>55</v>
      </c>
      <c r="G34" s="5" t="s">
        <v>402</v>
      </c>
      <c r="H34" s="5" t="s">
        <v>5</v>
      </c>
      <c r="I34" s="3" t="s">
        <v>6</v>
      </c>
      <c r="J34" s="3" t="s">
        <v>17</v>
      </c>
      <c r="K34" s="5">
        <v>1000</v>
      </c>
      <c r="L34" s="6"/>
      <c r="M34" s="86">
        <v>8287930638</v>
      </c>
      <c r="N34" s="5">
        <v>99</v>
      </c>
      <c r="O34" s="6">
        <f t="shared" si="0"/>
        <v>99</v>
      </c>
      <c r="P34" s="7">
        <f t="shared" si="1"/>
        <v>-901</v>
      </c>
      <c r="Q34" s="78"/>
      <c r="R34" s="79" t="s">
        <v>412</v>
      </c>
      <c r="S34" s="79"/>
    </row>
    <row r="35" spans="1:19" x14ac:dyDescent="0.25">
      <c r="A35" s="4">
        <v>33</v>
      </c>
      <c r="B35" s="5"/>
      <c r="C35" s="3" t="s">
        <v>56</v>
      </c>
      <c r="D35" s="5"/>
      <c r="E35" s="3" t="s">
        <v>15</v>
      </c>
      <c r="F35" s="5" t="s">
        <v>3</v>
      </c>
      <c r="G35" s="5" t="s">
        <v>16</v>
      </c>
      <c r="H35" s="5" t="s">
        <v>5</v>
      </c>
      <c r="I35" s="3" t="s">
        <v>6</v>
      </c>
      <c r="J35" s="8" t="s">
        <v>24</v>
      </c>
      <c r="K35" s="5">
        <v>500</v>
      </c>
      <c r="L35" s="6"/>
      <c r="M35" s="86">
        <v>8287930639</v>
      </c>
      <c r="N35" s="5">
        <v>67</v>
      </c>
      <c r="O35" s="6">
        <f t="shared" si="0"/>
        <v>67</v>
      </c>
      <c r="P35" s="7">
        <f t="shared" si="1"/>
        <v>-433</v>
      </c>
      <c r="Q35" s="78"/>
      <c r="R35" s="87"/>
      <c r="S35" s="79"/>
    </row>
    <row r="36" spans="1:19" ht="24" x14ac:dyDescent="0.25">
      <c r="A36" s="4">
        <v>34</v>
      </c>
      <c r="B36" s="5">
        <v>5058</v>
      </c>
      <c r="C36" s="10" t="s">
        <v>57</v>
      </c>
      <c r="D36" s="5"/>
      <c r="E36" s="3" t="s">
        <v>44</v>
      </c>
      <c r="F36" s="9" t="s">
        <v>3</v>
      </c>
      <c r="G36" s="5" t="s">
        <v>39</v>
      </c>
      <c r="H36" s="9" t="s">
        <v>5</v>
      </c>
      <c r="I36" s="10" t="s">
        <v>6</v>
      </c>
      <c r="J36" s="3" t="s">
        <v>17</v>
      </c>
      <c r="K36" s="9">
        <v>1000</v>
      </c>
      <c r="L36" s="12"/>
      <c r="M36" s="86">
        <v>8287930640</v>
      </c>
      <c r="N36" s="5">
        <v>99</v>
      </c>
      <c r="O36" s="6">
        <f t="shared" si="0"/>
        <v>99</v>
      </c>
      <c r="P36" s="7">
        <f t="shared" si="1"/>
        <v>-901</v>
      </c>
      <c r="Q36" s="78"/>
      <c r="R36" s="79"/>
      <c r="S36" s="79"/>
    </row>
    <row r="37" spans="1:19" x14ac:dyDescent="0.25">
      <c r="A37" s="4">
        <v>35</v>
      </c>
      <c r="B37" s="5"/>
      <c r="C37" s="3" t="s">
        <v>487</v>
      </c>
      <c r="D37" s="5"/>
      <c r="E37" s="3" t="s">
        <v>477</v>
      </c>
      <c r="F37" s="5" t="s">
        <v>3</v>
      </c>
      <c r="G37" s="5" t="s">
        <v>488</v>
      </c>
      <c r="H37" s="5" t="s">
        <v>5</v>
      </c>
      <c r="I37" s="3" t="s">
        <v>6</v>
      </c>
      <c r="J37" s="3" t="s">
        <v>489</v>
      </c>
      <c r="K37" s="5">
        <v>5000</v>
      </c>
      <c r="L37" s="6"/>
      <c r="M37" s="86">
        <v>8287930641</v>
      </c>
      <c r="N37" s="5">
        <v>99</v>
      </c>
      <c r="O37" s="6">
        <f t="shared" si="0"/>
        <v>99</v>
      </c>
      <c r="P37" s="7">
        <f t="shared" si="1"/>
        <v>-4901</v>
      </c>
      <c r="Q37" s="78"/>
      <c r="R37" s="79"/>
      <c r="S37" s="79"/>
    </row>
    <row r="38" spans="1:19" ht="24" x14ac:dyDescent="0.25">
      <c r="A38" s="4">
        <v>36</v>
      </c>
      <c r="B38" s="5">
        <v>4907</v>
      </c>
      <c r="C38" s="10" t="s">
        <v>58</v>
      </c>
      <c r="D38" s="5"/>
      <c r="E38" s="3" t="s">
        <v>44</v>
      </c>
      <c r="F38" s="9" t="s">
        <v>3</v>
      </c>
      <c r="G38" s="5" t="s">
        <v>39</v>
      </c>
      <c r="H38" s="9" t="s">
        <v>5</v>
      </c>
      <c r="I38" s="10" t="s">
        <v>6</v>
      </c>
      <c r="J38" s="3" t="s">
        <v>37</v>
      </c>
      <c r="K38" s="5">
        <v>1000</v>
      </c>
      <c r="L38" s="6"/>
      <c r="M38" s="86">
        <v>8287930643</v>
      </c>
      <c r="N38" s="5">
        <v>99</v>
      </c>
      <c r="O38" s="6">
        <f t="shared" si="0"/>
        <v>99</v>
      </c>
      <c r="P38" s="7">
        <f t="shared" si="1"/>
        <v>-901</v>
      </c>
      <c r="Q38" s="78"/>
      <c r="R38" s="79"/>
      <c r="S38" s="79"/>
    </row>
    <row r="39" spans="1:19" ht="24" x14ac:dyDescent="0.25">
      <c r="A39" s="4">
        <v>37</v>
      </c>
      <c r="B39" s="5">
        <v>4934</v>
      </c>
      <c r="C39" s="3" t="s">
        <v>59</v>
      </c>
      <c r="D39" s="5"/>
      <c r="E39" s="3" t="s">
        <v>44</v>
      </c>
      <c r="F39" s="5" t="s">
        <v>3</v>
      </c>
      <c r="G39" s="5" t="s">
        <v>39</v>
      </c>
      <c r="H39" s="5" t="s">
        <v>5</v>
      </c>
      <c r="I39" s="3" t="s">
        <v>6</v>
      </c>
      <c r="J39" s="3" t="s">
        <v>37</v>
      </c>
      <c r="K39" s="5">
        <v>1000</v>
      </c>
      <c r="L39" s="6"/>
      <c r="M39" s="86">
        <v>8287930644</v>
      </c>
      <c r="N39" s="5">
        <v>99</v>
      </c>
      <c r="O39" s="6">
        <f t="shared" si="0"/>
        <v>99</v>
      </c>
      <c r="P39" s="7">
        <f t="shared" si="1"/>
        <v>-901</v>
      </c>
      <c r="Q39" s="78"/>
      <c r="R39" s="79"/>
      <c r="S39" s="79"/>
    </row>
    <row r="40" spans="1:19" ht="24" x14ac:dyDescent="0.25">
      <c r="A40" s="4">
        <v>38</v>
      </c>
      <c r="B40" s="5">
        <v>4997</v>
      </c>
      <c r="C40" s="10" t="s">
        <v>60</v>
      </c>
      <c r="D40" s="5"/>
      <c r="E40" s="3" t="s">
        <v>379</v>
      </c>
      <c r="F40" s="5" t="s">
        <v>3</v>
      </c>
      <c r="G40" s="5" t="s">
        <v>385</v>
      </c>
      <c r="H40" s="9" t="s">
        <v>5</v>
      </c>
      <c r="I40" s="3" t="s">
        <v>6</v>
      </c>
      <c r="J40" s="3" t="s">
        <v>37</v>
      </c>
      <c r="K40" s="5">
        <v>1000</v>
      </c>
      <c r="L40" s="6"/>
      <c r="M40" s="86">
        <v>8287930645</v>
      </c>
      <c r="N40" s="5">
        <v>99</v>
      </c>
      <c r="O40" s="6">
        <f t="shared" si="0"/>
        <v>99</v>
      </c>
      <c r="P40" s="7">
        <f t="shared" si="1"/>
        <v>-901</v>
      </c>
      <c r="Q40" s="78"/>
      <c r="R40" s="79"/>
      <c r="S40" s="79"/>
    </row>
    <row r="41" spans="1:19" x14ac:dyDescent="0.25">
      <c r="A41" s="4">
        <v>39</v>
      </c>
      <c r="B41" s="5">
        <v>6555</v>
      </c>
      <c r="C41" s="3" t="s">
        <v>374</v>
      </c>
      <c r="D41" s="5"/>
      <c r="E41" s="3" t="s">
        <v>15</v>
      </c>
      <c r="F41" s="5" t="s">
        <v>3</v>
      </c>
      <c r="G41" s="5" t="s">
        <v>16</v>
      </c>
      <c r="H41" s="5" t="s">
        <v>5</v>
      </c>
      <c r="I41" s="3" t="s">
        <v>6</v>
      </c>
      <c r="J41" s="3" t="s">
        <v>24</v>
      </c>
      <c r="K41" s="5">
        <v>500</v>
      </c>
      <c r="L41" s="6"/>
      <c r="M41" s="86">
        <v>8287930648</v>
      </c>
      <c r="N41" s="5">
        <v>67</v>
      </c>
      <c r="O41" s="6">
        <f t="shared" si="0"/>
        <v>67</v>
      </c>
      <c r="P41" s="7">
        <f t="shared" si="1"/>
        <v>-433</v>
      </c>
      <c r="Q41" s="78"/>
      <c r="R41" s="79"/>
      <c r="S41" s="79"/>
    </row>
    <row r="42" spans="1:19" x14ac:dyDescent="0.25">
      <c r="A42" s="4">
        <v>40</v>
      </c>
      <c r="B42" s="5" t="s">
        <v>427</v>
      </c>
      <c r="C42" s="3" t="s">
        <v>428</v>
      </c>
      <c r="D42" s="5"/>
      <c r="E42" s="3" t="s">
        <v>429</v>
      </c>
      <c r="F42" s="5" t="s">
        <v>3</v>
      </c>
      <c r="G42" s="5" t="s">
        <v>327</v>
      </c>
      <c r="H42" s="5" t="s">
        <v>5</v>
      </c>
      <c r="I42" s="3" t="s">
        <v>6</v>
      </c>
      <c r="J42" s="3"/>
      <c r="K42" s="5">
        <v>500</v>
      </c>
      <c r="L42" s="6"/>
      <c r="M42" s="86">
        <v>8287930649</v>
      </c>
      <c r="N42" s="5">
        <v>67</v>
      </c>
      <c r="O42" s="6">
        <f t="shared" si="0"/>
        <v>67</v>
      </c>
      <c r="P42" s="7">
        <f t="shared" si="1"/>
        <v>-433</v>
      </c>
      <c r="Q42" s="78"/>
      <c r="R42" s="79"/>
      <c r="S42" s="79"/>
    </row>
    <row r="43" spans="1:19" ht="24" x14ac:dyDescent="0.25">
      <c r="A43" s="4">
        <v>41</v>
      </c>
      <c r="B43" s="1">
        <v>5000</v>
      </c>
      <c r="C43" s="2" t="s">
        <v>61</v>
      </c>
      <c r="D43" s="2"/>
      <c r="E43" s="3" t="s">
        <v>44</v>
      </c>
      <c r="F43" s="5" t="s">
        <v>3</v>
      </c>
      <c r="G43" s="5" t="s">
        <v>39</v>
      </c>
      <c r="H43" s="9" t="s">
        <v>5</v>
      </c>
      <c r="I43" s="10" t="s">
        <v>6</v>
      </c>
      <c r="J43" s="3" t="s">
        <v>37</v>
      </c>
      <c r="K43" s="5">
        <v>1000</v>
      </c>
      <c r="L43" s="13"/>
      <c r="M43" s="85">
        <v>8287930650</v>
      </c>
      <c r="N43" s="5">
        <v>99</v>
      </c>
      <c r="O43" s="6">
        <f t="shared" si="0"/>
        <v>99</v>
      </c>
      <c r="P43" s="7">
        <f t="shared" si="1"/>
        <v>-901</v>
      </c>
      <c r="Q43" s="78"/>
      <c r="R43" s="79"/>
      <c r="S43" s="79"/>
    </row>
    <row r="44" spans="1:19" ht="24" x14ac:dyDescent="0.25">
      <c r="A44" s="4">
        <v>42</v>
      </c>
      <c r="B44" s="5">
        <v>5001</v>
      </c>
      <c r="C44" s="10" t="s">
        <v>62</v>
      </c>
      <c r="D44" s="5"/>
      <c r="E44" s="3" t="s">
        <v>44</v>
      </c>
      <c r="F44" s="9" t="s">
        <v>3</v>
      </c>
      <c r="G44" s="5" t="s">
        <v>39</v>
      </c>
      <c r="H44" s="9" t="s">
        <v>5</v>
      </c>
      <c r="I44" s="3" t="s">
        <v>6</v>
      </c>
      <c r="J44" s="3" t="s">
        <v>37</v>
      </c>
      <c r="K44" s="9">
        <v>1000</v>
      </c>
      <c r="L44" s="12"/>
      <c r="M44" s="86">
        <v>8287930651</v>
      </c>
      <c r="N44" s="5">
        <v>99</v>
      </c>
      <c r="O44" s="6">
        <f t="shared" si="0"/>
        <v>99</v>
      </c>
      <c r="P44" s="7">
        <f t="shared" si="1"/>
        <v>-901</v>
      </c>
      <c r="Q44" s="78"/>
      <c r="R44" s="79"/>
      <c r="S44" s="79"/>
    </row>
    <row r="45" spans="1:19" x14ac:dyDescent="0.25">
      <c r="A45" s="4">
        <v>43</v>
      </c>
      <c r="B45" s="5">
        <v>2634</v>
      </c>
      <c r="C45" s="3" t="s">
        <v>433</v>
      </c>
      <c r="D45" s="5"/>
      <c r="E45" s="3" t="s">
        <v>354</v>
      </c>
      <c r="F45" s="5" t="s">
        <v>3</v>
      </c>
      <c r="G45" s="5" t="s">
        <v>399</v>
      </c>
      <c r="H45" s="5" t="s">
        <v>5</v>
      </c>
      <c r="I45" s="3" t="s">
        <v>6</v>
      </c>
      <c r="J45" s="3" t="s">
        <v>7</v>
      </c>
      <c r="K45" s="5">
        <v>3000</v>
      </c>
      <c r="L45" s="6"/>
      <c r="M45" s="86">
        <v>8287930652</v>
      </c>
      <c r="N45" s="5">
        <v>99</v>
      </c>
      <c r="O45" s="6">
        <f t="shared" si="0"/>
        <v>99</v>
      </c>
      <c r="P45" s="7">
        <f t="shared" si="1"/>
        <v>-2901</v>
      </c>
      <c r="Q45" s="78"/>
      <c r="R45" s="79"/>
      <c r="S45" s="79"/>
    </row>
    <row r="46" spans="1:19" ht="24" x14ac:dyDescent="0.25">
      <c r="A46" s="4">
        <v>44</v>
      </c>
      <c r="B46" s="5">
        <v>4900</v>
      </c>
      <c r="C46" s="3" t="s">
        <v>63</v>
      </c>
      <c r="D46" s="5"/>
      <c r="E46" s="3" t="s">
        <v>379</v>
      </c>
      <c r="F46" s="5" t="s">
        <v>3</v>
      </c>
      <c r="G46" s="5" t="s">
        <v>385</v>
      </c>
      <c r="H46" s="5" t="s">
        <v>5</v>
      </c>
      <c r="I46" s="3" t="s">
        <v>6</v>
      </c>
      <c r="J46" s="3" t="s">
        <v>37</v>
      </c>
      <c r="K46" s="5">
        <v>2000</v>
      </c>
      <c r="L46" s="6"/>
      <c r="M46" s="86">
        <v>8287930653</v>
      </c>
      <c r="N46" s="5">
        <v>99</v>
      </c>
      <c r="O46" s="6">
        <f t="shared" si="0"/>
        <v>99</v>
      </c>
      <c r="P46" s="7">
        <f t="shared" si="1"/>
        <v>-1901</v>
      </c>
      <c r="Q46" s="78"/>
      <c r="R46" s="79"/>
      <c r="S46" s="79"/>
    </row>
    <row r="47" spans="1:19" ht="24" x14ac:dyDescent="0.25">
      <c r="A47" s="4">
        <v>45</v>
      </c>
      <c r="B47" s="5">
        <v>5064</v>
      </c>
      <c r="C47" s="10" t="s">
        <v>64</v>
      </c>
      <c r="D47" s="5"/>
      <c r="E47" s="3" t="s">
        <v>44</v>
      </c>
      <c r="F47" s="9" t="s">
        <v>3</v>
      </c>
      <c r="G47" s="5" t="s">
        <v>39</v>
      </c>
      <c r="H47" s="9" t="s">
        <v>5</v>
      </c>
      <c r="I47" s="10" t="s">
        <v>6</v>
      </c>
      <c r="J47" s="3" t="s">
        <v>37</v>
      </c>
      <c r="K47" s="9">
        <v>1000</v>
      </c>
      <c r="L47" s="12"/>
      <c r="M47" s="86">
        <v>8287930655</v>
      </c>
      <c r="N47" s="5">
        <v>99</v>
      </c>
      <c r="O47" s="6">
        <f t="shared" si="0"/>
        <v>99</v>
      </c>
      <c r="P47" s="7">
        <f t="shared" si="1"/>
        <v>-901</v>
      </c>
      <c r="Q47" s="78"/>
      <c r="R47" s="79"/>
      <c r="S47" s="79"/>
    </row>
    <row r="48" spans="1:19" s="84" customFormat="1" ht="24" x14ac:dyDescent="0.25">
      <c r="A48" s="4">
        <v>46</v>
      </c>
      <c r="B48" s="5">
        <v>5336</v>
      </c>
      <c r="C48" s="3" t="s">
        <v>65</v>
      </c>
      <c r="D48" s="5"/>
      <c r="E48" s="3" t="s">
        <v>44</v>
      </c>
      <c r="F48" s="5" t="s">
        <v>3</v>
      </c>
      <c r="G48" s="5" t="s">
        <v>39</v>
      </c>
      <c r="H48" s="5" t="s">
        <v>5</v>
      </c>
      <c r="I48" s="3" t="s">
        <v>6</v>
      </c>
      <c r="J48" s="3" t="s">
        <v>37</v>
      </c>
      <c r="K48" s="5">
        <v>1000</v>
      </c>
      <c r="L48" s="6"/>
      <c r="M48" s="86">
        <v>8287930656</v>
      </c>
      <c r="N48" s="5">
        <v>99</v>
      </c>
      <c r="O48" s="6">
        <f t="shared" si="0"/>
        <v>99</v>
      </c>
      <c r="P48" s="7">
        <f t="shared" si="1"/>
        <v>-901</v>
      </c>
      <c r="Q48" s="116"/>
      <c r="R48" s="87"/>
      <c r="S48" s="87"/>
    </row>
    <row r="49" spans="1:19" s="84" customFormat="1" ht="24" x14ac:dyDescent="0.25">
      <c r="A49" s="4">
        <v>47</v>
      </c>
      <c r="B49" s="5">
        <v>5050</v>
      </c>
      <c r="C49" s="10" t="s">
        <v>66</v>
      </c>
      <c r="D49" s="5"/>
      <c r="E49" s="3" t="s">
        <v>44</v>
      </c>
      <c r="F49" s="9" t="s">
        <v>3</v>
      </c>
      <c r="G49" s="5" t="s">
        <v>39</v>
      </c>
      <c r="H49" s="9" t="s">
        <v>5</v>
      </c>
      <c r="I49" s="10" t="s">
        <v>6</v>
      </c>
      <c r="J49" s="3" t="s">
        <v>24</v>
      </c>
      <c r="K49" s="5">
        <v>1000</v>
      </c>
      <c r="L49" s="12"/>
      <c r="M49" s="86">
        <v>8287930657</v>
      </c>
      <c r="N49" s="5">
        <v>99</v>
      </c>
      <c r="O49" s="6">
        <f t="shared" si="0"/>
        <v>99</v>
      </c>
      <c r="P49" s="7">
        <f t="shared" si="1"/>
        <v>-901</v>
      </c>
      <c r="Q49" s="116"/>
      <c r="R49" s="87"/>
      <c r="S49" s="87"/>
    </row>
    <row r="50" spans="1:19" s="84" customFormat="1" x14ac:dyDescent="0.25">
      <c r="A50" s="4">
        <v>48</v>
      </c>
      <c r="B50" s="5">
        <v>6171</v>
      </c>
      <c r="C50" s="3" t="s">
        <v>67</v>
      </c>
      <c r="D50" s="5"/>
      <c r="E50" s="3" t="s">
        <v>15</v>
      </c>
      <c r="F50" s="5" t="s">
        <v>3</v>
      </c>
      <c r="G50" s="5" t="s">
        <v>16</v>
      </c>
      <c r="H50" s="5" t="s">
        <v>5</v>
      </c>
      <c r="I50" s="3" t="s">
        <v>6</v>
      </c>
      <c r="J50" s="3" t="s">
        <v>7</v>
      </c>
      <c r="K50" s="5">
        <v>500</v>
      </c>
      <c r="L50" s="6"/>
      <c r="M50" s="86">
        <v>8287930658</v>
      </c>
      <c r="N50" s="5">
        <v>67</v>
      </c>
      <c r="O50" s="6">
        <f>L50+N50</f>
        <v>67</v>
      </c>
      <c r="P50" s="7">
        <f t="shared" si="1"/>
        <v>-433</v>
      </c>
      <c r="Q50" s="116"/>
      <c r="R50" s="87"/>
      <c r="S50" s="87"/>
    </row>
    <row r="51" spans="1:19" s="84" customFormat="1" ht="24" x14ac:dyDescent="0.25">
      <c r="A51" s="4">
        <v>49</v>
      </c>
      <c r="B51" s="5">
        <v>5012</v>
      </c>
      <c r="C51" s="10" t="s">
        <v>68</v>
      </c>
      <c r="D51" s="5"/>
      <c r="E51" s="3" t="s">
        <v>44</v>
      </c>
      <c r="F51" s="9" t="s">
        <v>3</v>
      </c>
      <c r="G51" s="5" t="s">
        <v>39</v>
      </c>
      <c r="H51" s="9" t="s">
        <v>5</v>
      </c>
      <c r="I51" s="3" t="s">
        <v>6</v>
      </c>
      <c r="J51" s="3" t="s">
        <v>24</v>
      </c>
      <c r="K51" s="5">
        <v>1000</v>
      </c>
      <c r="L51" s="6"/>
      <c r="M51" s="86">
        <v>8287930659</v>
      </c>
      <c r="N51" s="5">
        <v>99</v>
      </c>
      <c r="O51" s="6">
        <f t="shared" si="0"/>
        <v>99</v>
      </c>
      <c r="P51" s="7">
        <f t="shared" si="1"/>
        <v>-901</v>
      </c>
      <c r="Q51" s="116"/>
      <c r="R51" s="87"/>
      <c r="S51" s="87"/>
    </row>
    <row r="52" spans="1:19" s="84" customFormat="1" ht="24" x14ac:dyDescent="0.25">
      <c r="A52" s="4">
        <v>50</v>
      </c>
      <c r="B52" s="5">
        <v>5010</v>
      </c>
      <c r="C52" s="3" t="s">
        <v>69</v>
      </c>
      <c r="D52" s="5"/>
      <c r="E52" s="3" t="s">
        <v>44</v>
      </c>
      <c r="F52" s="5" t="s">
        <v>3</v>
      </c>
      <c r="G52" s="5" t="s">
        <v>385</v>
      </c>
      <c r="H52" s="5" t="s">
        <v>5</v>
      </c>
      <c r="I52" s="3" t="s">
        <v>6</v>
      </c>
      <c r="J52" s="3" t="s">
        <v>24</v>
      </c>
      <c r="K52" s="5">
        <v>2000</v>
      </c>
      <c r="L52" s="6"/>
      <c r="M52" s="86">
        <v>8287930660</v>
      </c>
      <c r="N52" s="5">
        <v>99</v>
      </c>
      <c r="O52" s="6">
        <f t="shared" si="0"/>
        <v>99</v>
      </c>
      <c r="P52" s="7">
        <f t="shared" si="1"/>
        <v>-1901</v>
      </c>
      <c r="Q52" s="116"/>
      <c r="R52" s="87"/>
      <c r="S52" s="87"/>
    </row>
    <row r="53" spans="1:19" s="84" customFormat="1" x14ac:dyDescent="0.25">
      <c r="A53" s="4">
        <v>51</v>
      </c>
      <c r="B53" s="5" t="s">
        <v>398</v>
      </c>
      <c r="C53" s="3" t="s">
        <v>70</v>
      </c>
      <c r="D53" s="5"/>
      <c r="E53" s="3" t="s">
        <v>71</v>
      </c>
      <c r="F53" s="5"/>
      <c r="G53" s="5" t="s">
        <v>71</v>
      </c>
      <c r="H53" s="5"/>
      <c r="I53" s="3"/>
      <c r="J53" s="3"/>
      <c r="K53" s="5">
        <v>500</v>
      </c>
      <c r="L53" s="6"/>
      <c r="M53" s="86">
        <v>8287930661</v>
      </c>
      <c r="N53" s="5">
        <v>99</v>
      </c>
      <c r="O53" s="6">
        <f t="shared" si="0"/>
        <v>99</v>
      </c>
      <c r="P53" s="7">
        <f t="shared" si="1"/>
        <v>-401</v>
      </c>
      <c r="Q53" s="116"/>
      <c r="R53" s="87"/>
      <c r="S53" s="87"/>
    </row>
    <row r="54" spans="1:19" s="84" customFormat="1" x14ac:dyDescent="0.25">
      <c r="A54" s="4">
        <v>52</v>
      </c>
      <c r="B54" s="5" t="s">
        <v>398</v>
      </c>
      <c r="C54" s="3" t="s">
        <v>465</v>
      </c>
      <c r="D54" s="5"/>
      <c r="E54" s="3" t="s">
        <v>466</v>
      </c>
      <c r="F54" s="9" t="s">
        <v>3</v>
      </c>
      <c r="G54" s="5" t="s">
        <v>328</v>
      </c>
      <c r="H54" s="5" t="s">
        <v>101</v>
      </c>
      <c r="I54" s="3" t="s">
        <v>6</v>
      </c>
      <c r="J54" s="3" t="s">
        <v>467</v>
      </c>
      <c r="K54" s="9">
        <v>500</v>
      </c>
      <c r="L54" s="12"/>
      <c r="M54" s="86">
        <v>8287930662</v>
      </c>
      <c r="N54" s="5">
        <v>99</v>
      </c>
      <c r="O54" s="6">
        <f t="shared" si="0"/>
        <v>99</v>
      </c>
      <c r="P54" s="7">
        <f t="shared" si="1"/>
        <v>-401</v>
      </c>
      <c r="Q54" s="116"/>
      <c r="R54" s="87"/>
      <c r="S54" s="87"/>
    </row>
    <row r="55" spans="1:19" s="84" customFormat="1" ht="24" x14ac:dyDescent="0.25">
      <c r="A55" s="4">
        <v>53</v>
      </c>
      <c r="B55" s="5">
        <v>6560</v>
      </c>
      <c r="C55" s="3" t="s">
        <v>400</v>
      </c>
      <c r="D55" s="5"/>
      <c r="E55" s="3" t="s">
        <v>397</v>
      </c>
      <c r="F55" s="5" t="s">
        <v>3</v>
      </c>
      <c r="G55" s="5" t="s">
        <v>399</v>
      </c>
      <c r="H55" s="5" t="s">
        <v>5</v>
      </c>
      <c r="I55" s="3" t="s">
        <v>401</v>
      </c>
      <c r="J55" s="3" t="s">
        <v>332</v>
      </c>
      <c r="K55" s="5">
        <v>1000</v>
      </c>
      <c r="L55" s="6"/>
      <c r="M55" s="86">
        <v>8287930663</v>
      </c>
      <c r="N55" s="5">
        <v>99</v>
      </c>
      <c r="O55" s="6">
        <f t="shared" si="0"/>
        <v>99</v>
      </c>
      <c r="P55" s="7">
        <f t="shared" si="1"/>
        <v>-901</v>
      </c>
      <c r="Q55" s="116"/>
      <c r="R55" s="87"/>
      <c r="S55" s="87"/>
    </row>
    <row r="56" spans="1:19" s="84" customFormat="1" ht="24" x14ac:dyDescent="0.25">
      <c r="A56" s="4">
        <v>54</v>
      </c>
      <c r="B56" s="5">
        <v>6512</v>
      </c>
      <c r="C56" s="3" t="s">
        <v>448</v>
      </c>
      <c r="D56" s="5"/>
      <c r="E56" s="3" t="s">
        <v>44</v>
      </c>
      <c r="F56" s="5" t="s">
        <v>3</v>
      </c>
      <c r="G56" s="5" t="s">
        <v>39</v>
      </c>
      <c r="H56" s="5" t="s">
        <v>5</v>
      </c>
      <c r="I56" s="3" t="s">
        <v>6</v>
      </c>
      <c r="J56" s="3" t="s">
        <v>7</v>
      </c>
      <c r="K56" s="5">
        <v>1000</v>
      </c>
      <c r="L56" s="6"/>
      <c r="M56" s="86">
        <v>8287930664</v>
      </c>
      <c r="N56" s="5">
        <v>99</v>
      </c>
      <c r="O56" s="6">
        <f t="shared" si="0"/>
        <v>99</v>
      </c>
      <c r="P56" s="7">
        <f t="shared" si="1"/>
        <v>-901</v>
      </c>
      <c r="Q56" s="116"/>
      <c r="R56" s="87"/>
      <c r="S56" s="87"/>
    </row>
    <row r="57" spans="1:19" s="84" customFormat="1" ht="24" x14ac:dyDescent="0.25">
      <c r="A57" s="4">
        <v>55</v>
      </c>
      <c r="B57" s="5">
        <v>5016</v>
      </c>
      <c r="C57" s="3" t="s">
        <v>452</v>
      </c>
      <c r="D57" s="5"/>
      <c r="E57" s="3" t="s">
        <v>44</v>
      </c>
      <c r="F57" s="5" t="s">
        <v>3</v>
      </c>
      <c r="G57" s="5" t="s">
        <v>39</v>
      </c>
      <c r="H57" s="5" t="s">
        <v>5</v>
      </c>
      <c r="I57" s="3" t="s">
        <v>6</v>
      </c>
      <c r="J57" s="3" t="s">
        <v>37</v>
      </c>
      <c r="K57" s="5">
        <v>1000</v>
      </c>
      <c r="L57" s="6"/>
      <c r="M57" s="86">
        <v>8287930665</v>
      </c>
      <c r="N57" s="5">
        <v>0</v>
      </c>
      <c r="O57" s="6">
        <f t="shared" si="0"/>
        <v>0</v>
      </c>
      <c r="P57" s="7">
        <f t="shared" si="1"/>
        <v>-1000</v>
      </c>
      <c r="Q57" s="116"/>
      <c r="R57" s="87"/>
      <c r="S57" s="87"/>
    </row>
    <row r="58" spans="1:19" s="84" customFormat="1" ht="24" x14ac:dyDescent="0.25">
      <c r="A58" s="4">
        <v>56</v>
      </c>
      <c r="B58" s="5">
        <v>5131</v>
      </c>
      <c r="C58" s="3" t="s">
        <v>72</v>
      </c>
      <c r="D58" s="5"/>
      <c r="E58" s="3" t="s">
        <v>44</v>
      </c>
      <c r="F58" s="5" t="s">
        <v>3</v>
      </c>
      <c r="G58" s="5" t="s">
        <v>39</v>
      </c>
      <c r="H58" s="5" t="s">
        <v>5</v>
      </c>
      <c r="I58" s="3" t="s">
        <v>6</v>
      </c>
      <c r="J58" s="3" t="s">
        <v>37</v>
      </c>
      <c r="K58" s="5">
        <v>1000</v>
      </c>
      <c r="L58" s="6"/>
      <c r="M58" s="86">
        <v>8287930667</v>
      </c>
      <c r="N58" s="5">
        <v>99</v>
      </c>
      <c r="O58" s="6">
        <f t="shared" si="0"/>
        <v>99</v>
      </c>
      <c r="P58" s="7">
        <f t="shared" si="1"/>
        <v>-901</v>
      </c>
      <c r="Q58" s="116"/>
      <c r="R58" s="87"/>
      <c r="S58" s="87"/>
    </row>
    <row r="59" spans="1:19" s="84" customFormat="1" ht="24" x14ac:dyDescent="0.25">
      <c r="A59" s="4">
        <v>57</v>
      </c>
      <c r="B59" s="5">
        <v>5125</v>
      </c>
      <c r="C59" s="3" t="s">
        <v>73</v>
      </c>
      <c r="D59" s="5"/>
      <c r="E59" s="3" t="s">
        <v>44</v>
      </c>
      <c r="F59" s="5" t="s">
        <v>3</v>
      </c>
      <c r="G59" s="5" t="s">
        <v>385</v>
      </c>
      <c r="H59" s="5" t="s">
        <v>5</v>
      </c>
      <c r="I59" s="3" t="s">
        <v>6</v>
      </c>
      <c r="J59" s="8" t="s">
        <v>7</v>
      </c>
      <c r="K59" s="5">
        <v>1000</v>
      </c>
      <c r="L59" s="6"/>
      <c r="M59" s="86">
        <v>8287930668</v>
      </c>
      <c r="N59" s="5">
        <v>99</v>
      </c>
      <c r="O59" s="6">
        <f t="shared" si="0"/>
        <v>99</v>
      </c>
      <c r="P59" s="7">
        <f t="shared" si="1"/>
        <v>-901</v>
      </c>
      <c r="Q59" s="116"/>
      <c r="R59" s="87"/>
      <c r="S59" s="87"/>
    </row>
    <row r="60" spans="1:19" s="84" customFormat="1" ht="24" x14ac:dyDescent="0.25">
      <c r="A60" s="4">
        <v>58</v>
      </c>
      <c r="B60" s="14">
        <v>5281</v>
      </c>
      <c r="C60" s="15" t="s">
        <v>74</v>
      </c>
      <c r="D60" s="5"/>
      <c r="E60" s="3" t="s">
        <v>44</v>
      </c>
      <c r="F60" s="5" t="s">
        <v>3</v>
      </c>
      <c r="G60" s="5" t="s">
        <v>39</v>
      </c>
      <c r="H60" s="5" t="s">
        <v>5</v>
      </c>
      <c r="I60" s="3" t="s">
        <v>6</v>
      </c>
      <c r="J60" s="3" t="s">
        <v>37</v>
      </c>
      <c r="K60" s="5">
        <v>1000</v>
      </c>
      <c r="L60" s="6"/>
      <c r="M60" s="86">
        <v>8287930670</v>
      </c>
      <c r="N60" s="5">
        <v>99</v>
      </c>
      <c r="O60" s="6">
        <f t="shared" si="0"/>
        <v>99</v>
      </c>
      <c r="P60" s="7">
        <f t="shared" si="1"/>
        <v>-901</v>
      </c>
      <c r="Q60" s="116"/>
      <c r="R60" s="87"/>
      <c r="S60" s="87"/>
    </row>
    <row r="61" spans="1:19" s="84" customFormat="1" ht="24" x14ac:dyDescent="0.25">
      <c r="A61" s="4">
        <v>59</v>
      </c>
      <c r="B61" s="11">
        <v>6194</v>
      </c>
      <c r="C61" s="3" t="s">
        <v>75</v>
      </c>
      <c r="D61" s="5"/>
      <c r="E61" s="3" t="s">
        <v>44</v>
      </c>
      <c r="F61" s="9" t="s">
        <v>3</v>
      </c>
      <c r="G61" s="5" t="s">
        <v>39</v>
      </c>
      <c r="H61" s="9" t="s">
        <v>5</v>
      </c>
      <c r="I61" s="3" t="s">
        <v>76</v>
      </c>
      <c r="J61" s="3" t="s">
        <v>77</v>
      </c>
      <c r="K61" s="5">
        <v>1000</v>
      </c>
      <c r="L61" s="6"/>
      <c r="M61" s="86">
        <v>8287930671</v>
      </c>
      <c r="N61" s="5">
        <v>0</v>
      </c>
      <c r="O61" s="6">
        <f t="shared" si="0"/>
        <v>0</v>
      </c>
      <c r="P61" s="7">
        <f t="shared" si="1"/>
        <v>-1000</v>
      </c>
      <c r="Q61" s="116"/>
      <c r="R61" s="87"/>
      <c r="S61" s="87"/>
    </row>
    <row r="62" spans="1:19" s="84" customFormat="1" ht="24" x14ac:dyDescent="0.25">
      <c r="A62" s="4">
        <v>60</v>
      </c>
      <c r="B62" s="14">
        <v>4902</v>
      </c>
      <c r="C62" s="16" t="s">
        <v>78</v>
      </c>
      <c r="D62" s="14"/>
      <c r="E62" s="3" t="s">
        <v>44</v>
      </c>
      <c r="F62" s="5" t="s">
        <v>3</v>
      </c>
      <c r="G62" s="14" t="s">
        <v>39</v>
      </c>
      <c r="H62" s="14" t="s">
        <v>5</v>
      </c>
      <c r="I62" s="3" t="s">
        <v>6</v>
      </c>
      <c r="J62" s="8" t="s">
        <v>37</v>
      </c>
      <c r="K62" s="5">
        <v>1000</v>
      </c>
      <c r="L62" s="12"/>
      <c r="M62" s="86">
        <v>8287930672</v>
      </c>
      <c r="N62" s="5">
        <v>99</v>
      </c>
      <c r="O62" s="6">
        <f t="shared" si="0"/>
        <v>99</v>
      </c>
      <c r="P62" s="7">
        <f t="shared" si="1"/>
        <v>-901</v>
      </c>
      <c r="Q62" s="116"/>
      <c r="R62" s="87"/>
      <c r="S62" s="87"/>
    </row>
    <row r="63" spans="1:19" s="84" customFormat="1" ht="24" x14ac:dyDescent="0.25">
      <c r="A63" s="4">
        <v>61</v>
      </c>
      <c r="B63" s="14">
        <v>5489</v>
      </c>
      <c r="C63" s="3" t="s">
        <v>266</v>
      </c>
      <c r="D63" s="5"/>
      <c r="E63" s="3" t="s">
        <v>92</v>
      </c>
      <c r="F63" s="5" t="s">
        <v>3</v>
      </c>
      <c r="G63" s="20" t="s">
        <v>134</v>
      </c>
      <c r="H63" s="5" t="s">
        <v>5</v>
      </c>
      <c r="I63" s="3" t="s">
        <v>6</v>
      </c>
      <c r="J63" s="3" t="s">
        <v>37</v>
      </c>
      <c r="K63" s="5">
        <v>500</v>
      </c>
      <c r="L63" s="6"/>
      <c r="M63" s="86">
        <v>8287930673</v>
      </c>
      <c r="N63" s="5">
        <v>67</v>
      </c>
      <c r="O63" s="6">
        <v>67</v>
      </c>
      <c r="P63" s="7">
        <f t="shared" si="1"/>
        <v>-433</v>
      </c>
      <c r="Q63" s="116"/>
      <c r="R63" s="87"/>
      <c r="S63" s="87"/>
    </row>
    <row r="64" spans="1:19" s="84" customFormat="1" ht="24" x14ac:dyDescent="0.25">
      <c r="A64" s="4">
        <v>62</v>
      </c>
      <c r="B64" s="5">
        <v>5085</v>
      </c>
      <c r="C64" s="3" t="s">
        <v>79</v>
      </c>
      <c r="D64" s="5"/>
      <c r="E64" s="3" t="s">
        <v>44</v>
      </c>
      <c r="F64" s="9" t="s">
        <v>3</v>
      </c>
      <c r="G64" s="5" t="s">
        <v>39</v>
      </c>
      <c r="H64" s="9" t="s">
        <v>5</v>
      </c>
      <c r="I64" s="10" t="s">
        <v>6</v>
      </c>
      <c r="J64" s="3" t="s">
        <v>31</v>
      </c>
      <c r="K64" s="5">
        <v>1000</v>
      </c>
      <c r="L64" s="6"/>
      <c r="M64" s="86">
        <v>8287930674</v>
      </c>
      <c r="N64" s="5">
        <v>99</v>
      </c>
      <c r="O64" s="6">
        <f t="shared" si="0"/>
        <v>99</v>
      </c>
      <c r="P64" s="7">
        <f t="shared" si="1"/>
        <v>-901</v>
      </c>
      <c r="Q64" s="116"/>
      <c r="R64" s="87"/>
      <c r="S64" s="87"/>
    </row>
    <row r="65" spans="1:19" s="84" customFormat="1" ht="24" x14ac:dyDescent="0.25">
      <c r="A65" s="4">
        <v>63</v>
      </c>
      <c r="B65" s="11">
        <v>5061</v>
      </c>
      <c r="C65" s="3" t="s">
        <v>80</v>
      </c>
      <c r="D65" s="5"/>
      <c r="E65" s="3" t="s">
        <v>44</v>
      </c>
      <c r="F65" s="5" t="s">
        <v>3</v>
      </c>
      <c r="G65" s="5" t="s">
        <v>39</v>
      </c>
      <c r="H65" s="5" t="s">
        <v>5</v>
      </c>
      <c r="I65" s="3" t="s">
        <v>6</v>
      </c>
      <c r="J65" s="3" t="s">
        <v>37</v>
      </c>
      <c r="K65" s="5">
        <v>1000</v>
      </c>
      <c r="L65" s="6"/>
      <c r="M65" s="86">
        <v>8287930676</v>
      </c>
      <c r="N65" s="5">
        <v>99</v>
      </c>
      <c r="O65" s="6">
        <f t="shared" si="0"/>
        <v>99</v>
      </c>
      <c r="P65" s="7">
        <f t="shared" si="1"/>
        <v>-901</v>
      </c>
      <c r="Q65" s="116"/>
      <c r="R65" s="87"/>
      <c r="S65" s="87"/>
    </row>
    <row r="66" spans="1:19" s="84" customFormat="1" ht="24.75" x14ac:dyDescent="0.25">
      <c r="A66" s="4">
        <v>64</v>
      </c>
      <c r="B66" s="14">
        <v>5027</v>
      </c>
      <c r="C66" s="16" t="s">
        <v>81</v>
      </c>
      <c r="D66" s="14"/>
      <c r="E66" s="3" t="s">
        <v>44</v>
      </c>
      <c r="F66" s="5" t="s">
        <v>3</v>
      </c>
      <c r="G66" s="5" t="s">
        <v>385</v>
      </c>
      <c r="H66" s="5" t="s">
        <v>5</v>
      </c>
      <c r="I66" s="16" t="s">
        <v>6</v>
      </c>
      <c r="J66" s="17" t="s">
        <v>82</v>
      </c>
      <c r="K66" s="5">
        <v>2000</v>
      </c>
      <c r="L66" s="6"/>
      <c r="M66" s="86">
        <v>8287930677</v>
      </c>
      <c r="N66" s="5">
        <v>99</v>
      </c>
      <c r="O66" s="6">
        <f t="shared" si="0"/>
        <v>99</v>
      </c>
      <c r="P66" s="7">
        <f t="shared" si="1"/>
        <v>-1901</v>
      </c>
      <c r="Q66" s="116"/>
      <c r="R66" s="87"/>
      <c r="S66" s="87"/>
    </row>
    <row r="67" spans="1:19" ht="24" x14ac:dyDescent="0.25">
      <c r="A67" s="4">
        <v>65</v>
      </c>
      <c r="B67" s="5">
        <v>5065</v>
      </c>
      <c r="C67" s="10" t="s">
        <v>83</v>
      </c>
      <c r="D67" s="9"/>
      <c r="E67" s="3" t="s">
        <v>44</v>
      </c>
      <c r="F67" s="5" t="s">
        <v>84</v>
      </c>
      <c r="G67" s="5" t="s">
        <v>385</v>
      </c>
      <c r="H67" s="9" t="s">
        <v>5</v>
      </c>
      <c r="I67" s="10" t="s">
        <v>6</v>
      </c>
      <c r="J67" s="3" t="s">
        <v>7</v>
      </c>
      <c r="K67" s="9">
        <v>1000</v>
      </c>
      <c r="L67" s="12"/>
      <c r="M67" s="86">
        <v>8287930681</v>
      </c>
      <c r="N67" s="5">
        <v>99</v>
      </c>
      <c r="O67" s="6">
        <f t="shared" si="0"/>
        <v>99</v>
      </c>
      <c r="P67" s="7">
        <f t="shared" si="1"/>
        <v>-901</v>
      </c>
      <c r="Q67" s="78"/>
      <c r="R67" s="79"/>
      <c r="S67" s="79"/>
    </row>
    <row r="68" spans="1:19" x14ac:dyDescent="0.25">
      <c r="A68" s="4">
        <v>66</v>
      </c>
      <c r="B68" s="92">
        <v>6051</v>
      </c>
      <c r="C68" s="3" t="s">
        <v>456</v>
      </c>
      <c r="D68" s="18"/>
      <c r="E68" s="3" t="s">
        <v>92</v>
      </c>
      <c r="F68" s="5" t="s">
        <v>3</v>
      </c>
      <c r="G68" s="3" t="s">
        <v>186</v>
      </c>
      <c r="H68" s="5" t="s">
        <v>5</v>
      </c>
      <c r="I68" s="3" t="s">
        <v>6</v>
      </c>
      <c r="J68" s="3" t="s">
        <v>24</v>
      </c>
      <c r="K68" s="105">
        <v>1000</v>
      </c>
      <c r="L68" s="6"/>
      <c r="M68" s="86">
        <v>8287930682</v>
      </c>
      <c r="N68" s="5">
        <v>67</v>
      </c>
      <c r="O68" s="6">
        <f t="shared" si="0"/>
        <v>67</v>
      </c>
      <c r="P68" s="7">
        <f t="shared" si="1"/>
        <v>-933</v>
      </c>
      <c r="Q68" s="78"/>
      <c r="R68" s="79"/>
      <c r="S68" s="79"/>
    </row>
    <row r="69" spans="1:19" ht="24" x14ac:dyDescent="0.25">
      <c r="A69" s="4">
        <v>67</v>
      </c>
      <c r="B69" s="5">
        <v>6088</v>
      </c>
      <c r="C69" s="3" t="s">
        <v>85</v>
      </c>
      <c r="D69" s="5"/>
      <c r="E69" s="3" t="s">
        <v>44</v>
      </c>
      <c r="F69" s="5" t="s">
        <v>3</v>
      </c>
      <c r="G69" s="5" t="s">
        <v>39</v>
      </c>
      <c r="H69" s="5" t="s">
        <v>5</v>
      </c>
      <c r="I69" s="3" t="s">
        <v>6</v>
      </c>
      <c r="J69" s="3" t="s">
        <v>37</v>
      </c>
      <c r="K69" s="5">
        <v>1000</v>
      </c>
      <c r="L69" s="6"/>
      <c r="M69" s="86">
        <v>8287930683</v>
      </c>
      <c r="N69" s="5">
        <v>99</v>
      </c>
      <c r="O69" s="6">
        <f t="shared" si="0"/>
        <v>99</v>
      </c>
      <c r="P69" s="7">
        <f t="shared" ref="P69:P131" si="2">O69-K69</f>
        <v>-901</v>
      </c>
      <c r="Q69" s="78"/>
      <c r="R69" s="79"/>
      <c r="S69" s="79"/>
    </row>
    <row r="70" spans="1:19" ht="24" x14ac:dyDescent="0.25">
      <c r="A70" s="4">
        <v>68</v>
      </c>
      <c r="B70" s="11">
        <v>5421</v>
      </c>
      <c r="C70" s="3" t="s">
        <v>86</v>
      </c>
      <c r="D70" s="5"/>
      <c r="E70" s="3" t="s">
        <v>44</v>
      </c>
      <c r="F70" s="5" t="s">
        <v>3</v>
      </c>
      <c r="G70" s="5" t="s">
        <v>39</v>
      </c>
      <c r="H70" s="5" t="s">
        <v>5</v>
      </c>
      <c r="I70" s="10" t="s">
        <v>6</v>
      </c>
      <c r="J70" s="10" t="s">
        <v>7</v>
      </c>
      <c r="K70" s="5">
        <v>1000</v>
      </c>
      <c r="L70" s="6"/>
      <c r="M70" s="86">
        <v>8287930685</v>
      </c>
      <c r="N70" s="5">
        <v>99</v>
      </c>
      <c r="O70" s="6">
        <f t="shared" ref="O70:O132" si="3">L70+N70</f>
        <v>99</v>
      </c>
      <c r="P70" s="7">
        <f t="shared" si="2"/>
        <v>-901</v>
      </c>
      <c r="Q70" s="78"/>
      <c r="R70" s="79"/>
      <c r="S70" s="79"/>
    </row>
    <row r="71" spans="1:19" x14ac:dyDescent="0.25">
      <c r="A71" s="4">
        <v>69</v>
      </c>
      <c r="B71" s="5" t="s">
        <v>398</v>
      </c>
      <c r="C71" s="3" t="s">
        <v>506</v>
      </c>
      <c r="D71" s="5"/>
      <c r="E71" s="3" t="s">
        <v>71</v>
      </c>
      <c r="F71" s="5" t="s">
        <v>77</v>
      </c>
      <c r="G71" s="5">
        <v>0</v>
      </c>
      <c r="H71" s="9" t="s">
        <v>5</v>
      </c>
      <c r="I71" s="3" t="s">
        <v>6</v>
      </c>
      <c r="J71" s="3" t="s">
        <v>240</v>
      </c>
      <c r="K71" s="5">
        <v>500</v>
      </c>
      <c r="L71" s="6"/>
      <c r="M71" s="86">
        <v>8287930686</v>
      </c>
      <c r="N71" s="5">
        <v>67</v>
      </c>
      <c r="O71" s="6">
        <f t="shared" si="3"/>
        <v>67</v>
      </c>
      <c r="P71" s="7">
        <f t="shared" si="2"/>
        <v>-433</v>
      </c>
      <c r="Q71" s="78"/>
      <c r="R71" s="79"/>
      <c r="S71" s="79"/>
    </row>
    <row r="72" spans="1:19" ht="24" x14ac:dyDescent="0.25">
      <c r="A72" s="4">
        <v>70</v>
      </c>
      <c r="B72" s="92">
        <v>6111</v>
      </c>
      <c r="C72" s="93" t="s">
        <v>453</v>
      </c>
      <c r="D72" s="92"/>
      <c r="E72" s="93" t="s">
        <v>44</v>
      </c>
      <c r="F72" s="92" t="s">
        <v>3</v>
      </c>
      <c r="G72" s="92" t="s">
        <v>39</v>
      </c>
      <c r="H72" s="92" t="s">
        <v>5</v>
      </c>
      <c r="I72" s="93" t="s">
        <v>6</v>
      </c>
      <c r="J72" s="93" t="s">
        <v>37</v>
      </c>
      <c r="K72" s="92">
        <v>1000</v>
      </c>
      <c r="L72" s="94"/>
      <c r="M72" s="86">
        <v>8287930687</v>
      </c>
      <c r="N72" s="92">
        <v>0</v>
      </c>
      <c r="O72" s="94">
        <f t="shared" si="3"/>
        <v>0</v>
      </c>
      <c r="P72" s="95">
        <f t="shared" si="2"/>
        <v>-1000</v>
      </c>
      <c r="Q72" s="78"/>
      <c r="R72" s="79"/>
      <c r="S72" s="79"/>
    </row>
    <row r="73" spans="1:19" ht="24" x14ac:dyDescent="0.25">
      <c r="A73" s="4">
        <v>71</v>
      </c>
      <c r="B73" s="5">
        <v>5448</v>
      </c>
      <c r="C73" s="3" t="s">
        <v>87</v>
      </c>
      <c r="D73" s="5"/>
      <c r="E73" s="3" t="s">
        <v>44</v>
      </c>
      <c r="F73" s="5" t="s">
        <v>3</v>
      </c>
      <c r="G73" s="5" t="s">
        <v>39</v>
      </c>
      <c r="H73" s="5" t="s">
        <v>5</v>
      </c>
      <c r="I73" s="3" t="s">
        <v>6</v>
      </c>
      <c r="J73" s="8" t="s">
        <v>88</v>
      </c>
      <c r="K73" s="5">
        <v>1000</v>
      </c>
      <c r="L73" s="6"/>
      <c r="M73" s="86">
        <v>8287930688</v>
      </c>
      <c r="N73" s="5">
        <v>99</v>
      </c>
      <c r="O73" s="6">
        <f t="shared" si="3"/>
        <v>99</v>
      </c>
      <c r="P73" s="7">
        <f t="shared" si="2"/>
        <v>-901</v>
      </c>
      <c r="Q73" s="78"/>
      <c r="R73" s="79"/>
      <c r="S73" s="79"/>
    </row>
    <row r="74" spans="1:19" ht="24" x14ac:dyDescent="0.25">
      <c r="A74" s="4">
        <v>72</v>
      </c>
      <c r="B74" s="5">
        <v>6084</v>
      </c>
      <c r="C74" s="3" t="s">
        <v>89</v>
      </c>
      <c r="D74" s="14"/>
      <c r="E74" s="3" t="s">
        <v>44</v>
      </c>
      <c r="F74" s="9" t="s">
        <v>3</v>
      </c>
      <c r="G74" s="5" t="s">
        <v>39</v>
      </c>
      <c r="H74" s="9" t="s">
        <v>5</v>
      </c>
      <c r="I74" s="3" t="s">
        <v>6</v>
      </c>
      <c r="J74" s="3" t="s">
        <v>37</v>
      </c>
      <c r="K74" s="5">
        <v>1000</v>
      </c>
      <c r="L74" s="6"/>
      <c r="M74" s="86">
        <v>8287930689</v>
      </c>
      <c r="N74" s="5">
        <v>99</v>
      </c>
      <c r="O74" s="6">
        <f t="shared" si="3"/>
        <v>99</v>
      </c>
      <c r="P74" s="7">
        <f t="shared" si="2"/>
        <v>-901</v>
      </c>
      <c r="Q74" s="78"/>
      <c r="R74" s="79"/>
      <c r="S74" s="79"/>
    </row>
    <row r="75" spans="1:19" ht="24" x14ac:dyDescent="0.25">
      <c r="A75" s="4">
        <v>73</v>
      </c>
      <c r="B75" s="5">
        <v>4986</v>
      </c>
      <c r="C75" s="10" t="s">
        <v>90</v>
      </c>
      <c r="D75" s="5"/>
      <c r="E75" s="3" t="s">
        <v>44</v>
      </c>
      <c r="F75" s="9" t="s">
        <v>3</v>
      </c>
      <c r="G75" s="5" t="s">
        <v>39</v>
      </c>
      <c r="H75" s="9" t="s">
        <v>5</v>
      </c>
      <c r="I75" s="3" t="s">
        <v>6</v>
      </c>
      <c r="J75" s="3" t="s">
        <v>405</v>
      </c>
      <c r="K75" s="5">
        <v>1000</v>
      </c>
      <c r="L75" s="12"/>
      <c r="M75" s="86">
        <v>8287930690</v>
      </c>
      <c r="N75" s="5">
        <v>99</v>
      </c>
      <c r="O75" s="6">
        <f t="shared" si="3"/>
        <v>99</v>
      </c>
      <c r="P75" s="7">
        <f t="shared" si="2"/>
        <v>-901</v>
      </c>
      <c r="Q75" s="78"/>
      <c r="R75" s="79"/>
      <c r="S75" s="79"/>
    </row>
    <row r="76" spans="1:19" ht="24" x14ac:dyDescent="0.25">
      <c r="A76" s="4">
        <v>74</v>
      </c>
      <c r="B76" s="5">
        <v>5844</v>
      </c>
      <c r="C76" s="3" t="s">
        <v>91</v>
      </c>
      <c r="D76" s="5"/>
      <c r="E76" s="3" t="s">
        <v>44</v>
      </c>
      <c r="F76" s="5" t="s">
        <v>3</v>
      </c>
      <c r="G76" s="5" t="s">
        <v>39</v>
      </c>
      <c r="H76" s="5" t="s">
        <v>5</v>
      </c>
      <c r="I76" s="3" t="s">
        <v>6</v>
      </c>
      <c r="J76" s="3" t="s">
        <v>37</v>
      </c>
      <c r="K76" s="5">
        <v>1000</v>
      </c>
      <c r="L76" s="12"/>
      <c r="M76" s="86">
        <v>8287930691</v>
      </c>
      <c r="N76" s="5">
        <v>99</v>
      </c>
      <c r="O76" s="6">
        <f t="shared" si="3"/>
        <v>99</v>
      </c>
      <c r="P76" s="7">
        <f t="shared" si="2"/>
        <v>-901</v>
      </c>
      <c r="Q76" s="78"/>
      <c r="R76" s="79"/>
      <c r="S76" s="79"/>
    </row>
    <row r="77" spans="1:19" ht="24" x14ac:dyDescent="0.25">
      <c r="A77" s="4">
        <v>75</v>
      </c>
      <c r="B77" s="5">
        <v>5044</v>
      </c>
      <c r="C77" s="10" t="s">
        <v>78</v>
      </c>
      <c r="D77" s="5"/>
      <c r="E77" s="3" t="s">
        <v>44</v>
      </c>
      <c r="F77" s="9" t="s">
        <v>3</v>
      </c>
      <c r="G77" s="5" t="s">
        <v>39</v>
      </c>
      <c r="H77" s="9" t="s">
        <v>5</v>
      </c>
      <c r="I77" s="10" t="s">
        <v>6</v>
      </c>
      <c r="J77" s="3" t="s">
        <v>37</v>
      </c>
      <c r="K77" s="5">
        <v>1000</v>
      </c>
      <c r="L77" s="6"/>
      <c r="M77" s="86">
        <v>8287930692</v>
      </c>
      <c r="N77" s="5">
        <v>99</v>
      </c>
      <c r="O77" s="6">
        <f t="shared" si="3"/>
        <v>99</v>
      </c>
      <c r="P77" s="7">
        <f t="shared" si="2"/>
        <v>-901</v>
      </c>
      <c r="Q77" s="78"/>
      <c r="R77" s="79"/>
      <c r="S77" s="79"/>
    </row>
    <row r="78" spans="1:19" x14ac:dyDescent="0.25">
      <c r="A78" s="4">
        <v>76</v>
      </c>
      <c r="B78" s="5">
        <v>5874</v>
      </c>
      <c r="C78" s="3" t="s">
        <v>79</v>
      </c>
      <c r="D78" s="5"/>
      <c r="E78" s="3" t="s">
        <v>92</v>
      </c>
      <c r="F78" s="5" t="s">
        <v>3</v>
      </c>
      <c r="G78" s="5" t="s">
        <v>16</v>
      </c>
      <c r="H78" s="5" t="s">
        <v>5</v>
      </c>
      <c r="I78" s="3" t="s">
        <v>6</v>
      </c>
      <c r="J78" s="3"/>
      <c r="K78" s="5">
        <v>500</v>
      </c>
      <c r="L78" s="6"/>
      <c r="M78" s="86">
        <v>8287930693</v>
      </c>
      <c r="N78" s="5">
        <v>67</v>
      </c>
      <c r="O78" s="6">
        <f t="shared" si="3"/>
        <v>67</v>
      </c>
      <c r="P78" s="7">
        <f t="shared" si="2"/>
        <v>-433</v>
      </c>
      <c r="Q78" s="78"/>
      <c r="R78" s="79"/>
      <c r="S78" s="79"/>
    </row>
    <row r="79" spans="1:19" ht="24" x14ac:dyDescent="0.25">
      <c r="A79" s="4">
        <v>77</v>
      </c>
      <c r="B79" s="5">
        <v>5343</v>
      </c>
      <c r="C79" s="3" t="s">
        <v>93</v>
      </c>
      <c r="D79" s="5"/>
      <c r="E79" s="3" t="s">
        <v>44</v>
      </c>
      <c r="F79" s="5" t="s">
        <v>3</v>
      </c>
      <c r="G79" s="5" t="s">
        <v>39</v>
      </c>
      <c r="H79" s="5" t="s">
        <v>5</v>
      </c>
      <c r="I79" s="3" t="s">
        <v>6</v>
      </c>
      <c r="J79" s="3" t="s">
        <v>37</v>
      </c>
      <c r="K79" s="9">
        <v>1000</v>
      </c>
      <c r="L79" s="6"/>
      <c r="M79" s="86">
        <v>8287930694</v>
      </c>
      <c r="N79" s="5">
        <v>99</v>
      </c>
      <c r="O79" s="6">
        <f t="shared" si="3"/>
        <v>99</v>
      </c>
      <c r="P79" s="7">
        <f t="shared" si="2"/>
        <v>-901</v>
      </c>
      <c r="Q79" s="78"/>
      <c r="R79" s="79"/>
      <c r="S79" s="79"/>
    </row>
    <row r="80" spans="1:19" ht="24" x14ac:dyDescent="0.25">
      <c r="A80" s="4">
        <v>78</v>
      </c>
      <c r="B80" s="5">
        <v>5998</v>
      </c>
      <c r="C80" s="3" t="s">
        <v>409</v>
      </c>
      <c r="D80" s="5"/>
      <c r="E80" s="3" t="s">
        <v>410</v>
      </c>
      <c r="F80" s="5" t="s">
        <v>3</v>
      </c>
      <c r="G80" s="5" t="s">
        <v>376</v>
      </c>
      <c r="H80" s="9" t="s">
        <v>5</v>
      </c>
      <c r="I80" s="10" t="s">
        <v>6</v>
      </c>
      <c r="J80" s="3" t="s">
        <v>37</v>
      </c>
      <c r="K80" s="9">
        <v>1000</v>
      </c>
      <c r="L80" s="12"/>
      <c r="M80" s="86">
        <v>8287930695</v>
      </c>
      <c r="N80" s="5">
        <v>99</v>
      </c>
      <c r="O80" s="6">
        <f t="shared" si="3"/>
        <v>99</v>
      </c>
      <c r="P80" s="7">
        <f t="shared" si="2"/>
        <v>-901</v>
      </c>
      <c r="Q80" s="78"/>
      <c r="R80" s="79"/>
      <c r="S80" s="79"/>
    </row>
    <row r="81" spans="1:19" ht="24" x14ac:dyDescent="0.25">
      <c r="A81" s="4">
        <v>79</v>
      </c>
      <c r="B81" s="5"/>
      <c r="C81" s="3" t="s">
        <v>468</v>
      </c>
      <c r="D81" s="5"/>
      <c r="E81" s="3" t="s">
        <v>92</v>
      </c>
      <c r="F81" s="9" t="s">
        <v>3</v>
      </c>
      <c r="G81" s="5" t="s">
        <v>186</v>
      </c>
      <c r="H81" s="5" t="s">
        <v>5</v>
      </c>
      <c r="I81" s="3" t="s">
        <v>6</v>
      </c>
      <c r="J81" s="3" t="s">
        <v>37</v>
      </c>
      <c r="K81" s="5">
        <v>500</v>
      </c>
      <c r="L81" s="6"/>
      <c r="M81" s="86">
        <v>8287930696</v>
      </c>
      <c r="N81" s="5">
        <v>67</v>
      </c>
      <c r="O81" s="6">
        <f t="shared" si="3"/>
        <v>67</v>
      </c>
      <c r="P81" s="7">
        <f t="shared" si="2"/>
        <v>-433</v>
      </c>
      <c r="Q81" s="78"/>
      <c r="R81" s="79"/>
      <c r="S81" s="79"/>
    </row>
    <row r="82" spans="1:19" ht="24" x14ac:dyDescent="0.25">
      <c r="A82" s="4">
        <v>80</v>
      </c>
      <c r="B82" s="5" t="s">
        <v>432</v>
      </c>
      <c r="C82" s="3" t="s">
        <v>428</v>
      </c>
      <c r="D82" s="5">
        <v>0</v>
      </c>
      <c r="E82" s="3" t="s">
        <v>429</v>
      </c>
      <c r="F82" s="5" t="s">
        <v>3</v>
      </c>
      <c r="G82" s="5">
        <v>0</v>
      </c>
      <c r="H82" s="5" t="s">
        <v>5</v>
      </c>
      <c r="I82" s="3" t="s">
        <v>6</v>
      </c>
      <c r="J82" s="8" t="s">
        <v>37</v>
      </c>
      <c r="K82" s="5"/>
      <c r="L82" s="6"/>
      <c r="M82" s="86">
        <v>8287930697</v>
      </c>
      <c r="N82" s="5">
        <v>67</v>
      </c>
      <c r="O82" s="6">
        <f t="shared" si="3"/>
        <v>67</v>
      </c>
      <c r="P82" s="7">
        <f t="shared" si="2"/>
        <v>67</v>
      </c>
      <c r="Q82" s="78"/>
      <c r="R82" s="79"/>
      <c r="S82" s="79"/>
    </row>
    <row r="83" spans="1:19" x14ac:dyDescent="0.25">
      <c r="A83" s="4">
        <v>81</v>
      </c>
      <c r="B83" s="5">
        <v>4873</v>
      </c>
      <c r="C83" s="3" t="s">
        <v>95</v>
      </c>
      <c r="D83" s="5"/>
      <c r="E83" s="3" t="s">
        <v>92</v>
      </c>
      <c r="F83" s="5" t="s">
        <v>3</v>
      </c>
      <c r="G83" s="5" t="s">
        <v>16</v>
      </c>
      <c r="H83" s="5" t="s">
        <v>5</v>
      </c>
      <c r="I83" s="3" t="s">
        <v>6</v>
      </c>
      <c r="J83" s="3" t="s">
        <v>7</v>
      </c>
      <c r="K83" s="17" t="s">
        <v>406</v>
      </c>
      <c r="L83" s="6"/>
      <c r="M83" s="86">
        <v>8287930698</v>
      </c>
      <c r="N83" s="6">
        <v>67</v>
      </c>
      <c r="O83" s="6">
        <v>67</v>
      </c>
      <c r="P83" s="7"/>
      <c r="Q83" s="78"/>
      <c r="R83" s="79"/>
      <c r="S83" s="79"/>
    </row>
    <row r="84" spans="1:19" x14ac:dyDescent="0.25">
      <c r="A84" s="4">
        <v>82</v>
      </c>
      <c r="B84" s="5">
        <v>5258</v>
      </c>
      <c r="C84" s="3" t="s">
        <v>96</v>
      </c>
      <c r="D84" s="5"/>
      <c r="E84" s="3" t="s">
        <v>92</v>
      </c>
      <c r="F84" s="9" t="s">
        <v>3</v>
      </c>
      <c r="G84" s="5" t="s">
        <v>16</v>
      </c>
      <c r="H84" s="9" t="s">
        <v>5</v>
      </c>
      <c r="I84" s="3" t="s">
        <v>6</v>
      </c>
      <c r="J84" s="3" t="s">
        <v>97</v>
      </c>
      <c r="K84" s="5">
        <v>500</v>
      </c>
      <c r="L84" s="6"/>
      <c r="M84" s="86">
        <v>8287930699</v>
      </c>
      <c r="N84" s="5">
        <v>67</v>
      </c>
      <c r="O84" s="6">
        <f t="shared" si="3"/>
        <v>67</v>
      </c>
      <c r="P84" s="7">
        <f t="shared" si="2"/>
        <v>-433</v>
      </c>
      <c r="Q84" s="78"/>
      <c r="R84" s="79"/>
      <c r="S84" s="79"/>
    </row>
    <row r="85" spans="1:19" x14ac:dyDescent="0.25">
      <c r="A85" s="4">
        <v>83</v>
      </c>
      <c r="B85" s="11" t="s">
        <v>98</v>
      </c>
      <c r="C85" s="10" t="s">
        <v>99</v>
      </c>
      <c r="D85" s="5"/>
      <c r="E85" s="10" t="s">
        <v>71</v>
      </c>
      <c r="F85" s="9" t="s">
        <v>3</v>
      </c>
      <c r="G85" s="9" t="s">
        <v>100</v>
      </c>
      <c r="H85" s="9" t="s">
        <v>101</v>
      </c>
      <c r="I85" s="10" t="s">
        <v>6</v>
      </c>
      <c r="J85" s="10" t="s">
        <v>7</v>
      </c>
      <c r="K85" s="5">
        <v>500</v>
      </c>
      <c r="L85" s="6"/>
      <c r="M85" s="86">
        <v>8287930700</v>
      </c>
      <c r="N85" s="5">
        <v>67</v>
      </c>
      <c r="O85" s="6">
        <f t="shared" si="3"/>
        <v>67</v>
      </c>
      <c r="P85" s="7">
        <f t="shared" si="2"/>
        <v>-433</v>
      </c>
      <c r="Q85" s="78"/>
      <c r="R85" s="79"/>
      <c r="S85" s="79"/>
    </row>
    <row r="86" spans="1:19" ht="24" x14ac:dyDescent="0.25">
      <c r="A86" s="4">
        <v>84</v>
      </c>
      <c r="B86" s="3">
        <v>6173</v>
      </c>
      <c r="C86" s="3" t="s">
        <v>435</v>
      </c>
      <c r="D86" s="5"/>
      <c r="E86" s="3" t="s">
        <v>408</v>
      </c>
      <c r="F86" s="5"/>
      <c r="G86" s="5" t="s">
        <v>202</v>
      </c>
      <c r="H86" s="9" t="s">
        <v>5</v>
      </c>
      <c r="I86" s="10" t="s">
        <v>6</v>
      </c>
      <c r="J86" s="3" t="s">
        <v>37</v>
      </c>
      <c r="K86" s="5">
        <v>4000</v>
      </c>
      <c r="L86" s="12"/>
      <c r="M86" s="86">
        <v>8287930701</v>
      </c>
      <c r="N86" s="5">
        <v>125</v>
      </c>
      <c r="O86" s="6">
        <f t="shared" si="3"/>
        <v>125</v>
      </c>
      <c r="P86" s="7">
        <f t="shared" si="2"/>
        <v>-3875</v>
      </c>
      <c r="Q86" s="78"/>
      <c r="R86" s="79"/>
      <c r="S86" s="79"/>
    </row>
    <row r="87" spans="1:19" ht="24" x14ac:dyDescent="0.25">
      <c r="A87" s="4">
        <v>85</v>
      </c>
      <c r="B87" s="11" t="s">
        <v>102</v>
      </c>
      <c r="C87" s="3" t="s">
        <v>103</v>
      </c>
      <c r="D87" s="5"/>
      <c r="E87" s="3" t="s">
        <v>71</v>
      </c>
      <c r="F87" s="5" t="s">
        <v>84</v>
      </c>
      <c r="G87" s="5" t="s">
        <v>100</v>
      </c>
      <c r="H87" s="5" t="s">
        <v>101</v>
      </c>
      <c r="I87" s="3" t="s">
        <v>6</v>
      </c>
      <c r="J87" s="3" t="s">
        <v>472</v>
      </c>
      <c r="K87" s="5">
        <v>500</v>
      </c>
      <c r="L87" s="6"/>
      <c r="M87" s="86">
        <v>8287930702</v>
      </c>
      <c r="N87" s="5">
        <v>125</v>
      </c>
      <c r="O87" s="6">
        <f t="shared" si="3"/>
        <v>125</v>
      </c>
      <c r="P87" s="7">
        <f t="shared" si="2"/>
        <v>-375</v>
      </c>
      <c r="Q87" s="78"/>
      <c r="R87" s="79"/>
      <c r="S87" s="79"/>
    </row>
    <row r="88" spans="1:19" x14ac:dyDescent="0.25">
      <c r="A88" s="4">
        <v>86</v>
      </c>
      <c r="B88" s="11" t="s">
        <v>104</v>
      </c>
      <c r="C88" s="10" t="s">
        <v>105</v>
      </c>
      <c r="D88" s="5"/>
      <c r="E88" s="10" t="s">
        <v>71</v>
      </c>
      <c r="F88" s="5" t="s">
        <v>332</v>
      </c>
      <c r="G88" s="9" t="s">
        <v>100</v>
      </c>
      <c r="H88" s="9" t="s">
        <v>101</v>
      </c>
      <c r="I88" s="10" t="s">
        <v>6</v>
      </c>
      <c r="J88" s="3" t="s">
        <v>7</v>
      </c>
      <c r="K88" s="5">
        <v>500</v>
      </c>
      <c r="L88" s="6"/>
      <c r="M88" s="86">
        <v>8287930703</v>
      </c>
      <c r="N88" s="5">
        <v>67</v>
      </c>
      <c r="O88" s="6">
        <f t="shared" si="3"/>
        <v>67</v>
      </c>
      <c r="P88" s="7">
        <f t="shared" si="2"/>
        <v>-433</v>
      </c>
      <c r="Q88" s="78"/>
      <c r="R88" s="79"/>
      <c r="S88" s="79"/>
    </row>
    <row r="89" spans="1:19" x14ac:dyDescent="0.25">
      <c r="A89" s="4">
        <v>87</v>
      </c>
      <c r="B89" s="3" t="s">
        <v>398</v>
      </c>
      <c r="C89" s="3" t="s">
        <v>106</v>
      </c>
      <c r="D89" s="3"/>
      <c r="E89" s="3" t="s">
        <v>107</v>
      </c>
      <c r="F89" s="9" t="s">
        <v>108</v>
      </c>
      <c r="G89" s="9" t="s">
        <v>100</v>
      </c>
      <c r="H89" s="9" t="s">
        <v>101</v>
      </c>
      <c r="I89" s="10" t="s">
        <v>6</v>
      </c>
      <c r="J89" s="10" t="s">
        <v>7</v>
      </c>
      <c r="K89" s="5">
        <v>500</v>
      </c>
      <c r="L89" s="12"/>
      <c r="M89" s="86">
        <v>8287930704</v>
      </c>
      <c r="N89" s="6">
        <v>67</v>
      </c>
      <c r="O89" s="6">
        <v>67</v>
      </c>
      <c r="P89" s="7">
        <f t="shared" si="2"/>
        <v>-433</v>
      </c>
      <c r="Q89" s="78"/>
      <c r="R89" s="79"/>
      <c r="S89" s="79"/>
    </row>
    <row r="90" spans="1:19" ht="24" x14ac:dyDescent="0.25">
      <c r="A90" s="4">
        <v>88</v>
      </c>
      <c r="B90" s="11" t="s">
        <v>109</v>
      </c>
      <c r="C90" s="10" t="s">
        <v>471</v>
      </c>
      <c r="D90" s="5"/>
      <c r="E90" s="10" t="s">
        <v>71</v>
      </c>
      <c r="F90" s="5" t="s">
        <v>332</v>
      </c>
      <c r="G90" s="9" t="s">
        <v>100</v>
      </c>
      <c r="H90" s="9" t="s">
        <v>101</v>
      </c>
      <c r="I90" s="10"/>
      <c r="J90" s="10" t="s">
        <v>7</v>
      </c>
      <c r="K90" s="5">
        <v>500</v>
      </c>
      <c r="L90" s="6"/>
      <c r="M90" s="86">
        <v>8287930710</v>
      </c>
      <c r="N90" s="5">
        <v>0</v>
      </c>
      <c r="O90" s="6">
        <f t="shared" si="3"/>
        <v>0</v>
      </c>
      <c r="P90" s="7">
        <f t="shared" si="2"/>
        <v>-500</v>
      </c>
      <c r="Q90" s="78"/>
      <c r="R90" s="79"/>
      <c r="S90" s="79"/>
    </row>
    <row r="91" spans="1:19" x14ac:dyDescent="0.25">
      <c r="A91" s="4">
        <v>89</v>
      </c>
      <c r="B91" s="5">
        <v>6121</v>
      </c>
      <c r="C91" s="3" t="s">
        <v>110</v>
      </c>
      <c r="D91" s="5"/>
      <c r="E91" s="3" t="s">
        <v>92</v>
      </c>
      <c r="F91" s="5" t="s">
        <v>3</v>
      </c>
      <c r="G91" s="5" t="s">
        <v>111</v>
      </c>
      <c r="H91" s="5" t="s">
        <v>5</v>
      </c>
      <c r="I91" s="10" t="s">
        <v>6</v>
      </c>
      <c r="J91" s="10" t="s">
        <v>7</v>
      </c>
      <c r="K91" s="5">
        <v>500</v>
      </c>
      <c r="L91" s="6"/>
      <c r="M91" s="86">
        <v>8287930711</v>
      </c>
      <c r="N91" s="5">
        <v>67</v>
      </c>
      <c r="O91" s="6">
        <f t="shared" si="3"/>
        <v>67</v>
      </c>
      <c r="P91" s="7">
        <f t="shared" si="2"/>
        <v>-433</v>
      </c>
      <c r="Q91" s="78"/>
      <c r="R91" s="79"/>
      <c r="S91" s="79"/>
    </row>
    <row r="92" spans="1:19" x14ac:dyDescent="0.25">
      <c r="A92" s="4">
        <v>90</v>
      </c>
      <c r="B92" s="19"/>
      <c r="C92" s="2" t="s">
        <v>112</v>
      </c>
      <c r="D92" s="20"/>
      <c r="E92" s="2" t="s">
        <v>28</v>
      </c>
      <c r="F92" s="20" t="s">
        <v>42</v>
      </c>
      <c r="G92" s="20" t="s">
        <v>283</v>
      </c>
      <c r="H92" s="20" t="s">
        <v>101</v>
      </c>
      <c r="I92" s="10" t="s">
        <v>6</v>
      </c>
      <c r="J92" s="2" t="s">
        <v>7</v>
      </c>
      <c r="K92" s="5">
        <v>4000</v>
      </c>
      <c r="L92" s="6"/>
      <c r="M92" s="86">
        <v>8287930712</v>
      </c>
      <c r="N92" s="5">
        <v>67</v>
      </c>
      <c r="O92" s="6">
        <f t="shared" si="3"/>
        <v>67</v>
      </c>
      <c r="P92" s="7">
        <f t="shared" si="2"/>
        <v>-3933</v>
      </c>
      <c r="Q92" s="78"/>
      <c r="R92" s="79"/>
      <c r="S92" s="79"/>
    </row>
    <row r="93" spans="1:19" ht="38.25" x14ac:dyDescent="0.25">
      <c r="A93" s="4">
        <v>91</v>
      </c>
      <c r="B93" s="19">
        <v>2625</v>
      </c>
      <c r="C93" s="89" t="s">
        <v>454</v>
      </c>
      <c r="D93" s="5"/>
      <c r="E93" s="21" t="s">
        <v>23</v>
      </c>
      <c r="F93" s="5" t="s">
        <v>3</v>
      </c>
      <c r="G93" s="5" t="s">
        <v>399</v>
      </c>
      <c r="H93" s="5" t="s">
        <v>5</v>
      </c>
      <c r="I93" s="3" t="s">
        <v>6</v>
      </c>
      <c r="J93" s="3" t="s">
        <v>113</v>
      </c>
      <c r="K93" s="5">
        <v>3000</v>
      </c>
      <c r="L93" s="6"/>
      <c r="M93" s="86">
        <v>8287930714</v>
      </c>
      <c r="N93" s="5">
        <v>0</v>
      </c>
      <c r="O93" s="6">
        <f t="shared" si="3"/>
        <v>0</v>
      </c>
      <c r="P93" s="7">
        <f t="shared" si="2"/>
        <v>-3000</v>
      </c>
      <c r="Q93" s="78"/>
      <c r="R93" s="79"/>
      <c r="S93" s="79"/>
    </row>
    <row r="94" spans="1:19" x14ac:dyDescent="0.25">
      <c r="A94" s="4">
        <v>92</v>
      </c>
      <c r="B94" s="19" t="s">
        <v>114</v>
      </c>
      <c r="C94" s="3" t="s">
        <v>115</v>
      </c>
      <c r="D94" s="5"/>
      <c r="E94" s="3" t="s">
        <v>34</v>
      </c>
      <c r="F94" s="5" t="s">
        <v>42</v>
      </c>
      <c r="G94" s="5" t="s">
        <v>100</v>
      </c>
      <c r="H94" s="5" t="s">
        <v>101</v>
      </c>
      <c r="I94" s="3" t="s">
        <v>6</v>
      </c>
      <c r="J94" s="3" t="s">
        <v>7</v>
      </c>
      <c r="K94" s="5">
        <v>500</v>
      </c>
      <c r="L94" s="6"/>
      <c r="M94" s="86">
        <v>8287930715</v>
      </c>
      <c r="N94" s="5">
        <v>67</v>
      </c>
      <c r="O94" s="6">
        <f t="shared" si="3"/>
        <v>67</v>
      </c>
      <c r="P94" s="7">
        <f t="shared" si="2"/>
        <v>-433</v>
      </c>
      <c r="Q94" s="78"/>
      <c r="R94" s="79"/>
      <c r="S94" s="79"/>
    </row>
    <row r="95" spans="1:19" x14ac:dyDescent="0.25">
      <c r="A95" s="4">
        <v>93</v>
      </c>
      <c r="B95" s="11">
        <v>6015</v>
      </c>
      <c r="C95" s="3" t="s">
        <v>396</v>
      </c>
      <c r="D95" s="5"/>
      <c r="E95" s="21" t="s">
        <v>15</v>
      </c>
      <c r="F95" s="5" t="s">
        <v>3</v>
      </c>
      <c r="G95" s="5" t="s">
        <v>16</v>
      </c>
      <c r="H95" s="5" t="s">
        <v>5</v>
      </c>
      <c r="I95" s="3" t="s">
        <v>6</v>
      </c>
      <c r="J95" s="3" t="s">
        <v>116</v>
      </c>
      <c r="K95" s="5">
        <v>500</v>
      </c>
      <c r="L95" s="6"/>
      <c r="M95" s="86">
        <v>8287930716</v>
      </c>
      <c r="N95" s="5">
        <v>67</v>
      </c>
      <c r="O95" s="6">
        <f t="shared" si="3"/>
        <v>67</v>
      </c>
      <c r="P95" s="7">
        <f t="shared" si="2"/>
        <v>-433</v>
      </c>
      <c r="Q95" s="78"/>
      <c r="R95" s="79"/>
      <c r="S95" s="79"/>
    </row>
    <row r="96" spans="1:19" ht="24" x14ac:dyDescent="0.25">
      <c r="A96" s="4">
        <v>94</v>
      </c>
      <c r="B96" s="19" t="s">
        <v>117</v>
      </c>
      <c r="C96" s="3" t="s">
        <v>118</v>
      </c>
      <c r="D96" s="5"/>
      <c r="E96" s="10" t="s">
        <v>71</v>
      </c>
      <c r="F96" s="5" t="s">
        <v>84</v>
      </c>
      <c r="G96" s="9" t="s">
        <v>100</v>
      </c>
      <c r="H96" s="9" t="s">
        <v>101</v>
      </c>
      <c r="I96" s="10" t="s">
        <v>6</v>
      </c>
      <c r="J96" s="10" t="s">
        <v>7</v>
      </c>
      <c r="K96" s="5">
        <v>500</v>
      </c>
      <c r="L96" s="6"/>
      <c r="M96" s="86">
        <v>8287930717</v>
      </c>
      <c r="N96" s="5">
        <v>67</v>
      </c>
      <c r="O96" s="6">
        <f t="shared" si="3"/>
        <v>67</v>
      </c>
      <c r="P96" s="7">
        <f t="shared" si="2"/>
        <v>-433</v>
      </c>
      <c r="Q96" s="78"/>
      <c r="R96" s="79"/>
      <c r="S96" s="79"/>
    </row>
    <row r="97" spans="1:19" x14ac:dyDescent="0.25">
      <c r="A97" s="4">
        <v>95</v>
      </c>
      <c r="B97" s="11"/>
      <c r="C97" s="3" t="s">
        <v>89</v>
      </c>
      <c r="D97" s="5"/>
      <c r="E97" s="10" t="s">
        <v>71</v>
      </c>
      <c r="F97" s="5" t="s">
        <v>42</v>
      </c>
      <c r="G97" s="5" t="s">
        <v>71</v>
      </c>
      <c r="H97" s="5" t="s">
        <v>119</v>
      </c>
      <c r="I97" s="3" t="s">
        <v>120</v>
      </c>
      <c r="J97" s="3" t="s">
        <v>82</v>
      </c>
      <c r="K97" s="5">
        <v>500</v>
      </c>
      <c r="L97" s="6"/>
      <c r="M97" s="86">
        <v>8287930718</v>
      </c>
      <c r="N97" s="5">
        <v>67</v>
      </c>
      <c r="O97" s="6">
        <f t="shared" si="3"/>
        <v>67</v>
      </c>
      <c r="P97" s="7">
        <f t="shared" si="2"/>
        <v>-433</v>
      </c>
      <c r="Q97" s="78"/>
      <c r="R97" s="79"/>
      <c r="S97" s="79"/>
    </row>
    <row r="98" spans="1:19" x14ac:dyDescent="0.25">
      <c r="A98" s="4">
        <v>96</v>
      </c>
      <c r="B98" s="11" t="s">
        <v>121</v>
      </c>
      <c r="C98" s="3" t="s">
        <v>122</v>
      </c>
      <c r="D98" s="18"/>
      <c r="E98" s="3" t="s">
        <v>119</v>
      </c>
      <c r="F98" s="5" t="s">
        <v>3</v>
      </c>
      <c r="G98" s="5" t="s">
        <v>100</v>
      </c>
      <c r="H98" s="5" t="s">
        <v>101</v>
      </c>
      <c r="I98" s="3" t="s">
        <v>6</v>
      </c>
      <c r="J98" s="3" t="s">
        <v>123</v>
      </c>
      <c r="K98" s="5">
        <v>500</v>
      </c>
      <c r="L98" s="6"/>
      <c r="M98" s="86">
        <v>8287930723</v>
      </c>
      <c r="N98" s="5">
        <v>67</v>
      </c>
      <c r="O98" s="6">
        <f t="shared" si="3"/>
        <v>67</v>
      </c>
      <c r="P98" s="7">
        <f t="shared" si="2"/>
        <v>-433</v>
      </c>
      <c r="Q98" s="78"/>
      <c r="R98" s="79"/>
      <c r="S98" s="79"/>
    </row>
    <row r="99" spans="1:19" ht="24" x14ac:dyDescent="0.25">
      <c r="A99" s="4">
        <v>97</v>
      </c>
      <c r="B99" s="5">
        <v>5851</v>
      </c>
      <c r="C99" s="3" t="s">
        <v>124</v>
      </c>
      <c r="D99" s="5"/>
      <c r="E99" s="3" t="s">
        <v>44</v>
      </c>
      <c r="F99" s="5" t="s">
        <v>3</v>
      </c>
      <c r="G99" s="5" t="s">
        <v>39</v>
      </c>
      <c r="H99" s="5" t="s">
        <v>5</v>
      </c>
      <c r="I99" s="3" t="s">
        <v>6</v>
      </c>
      <c r="J99" s="3" t="s">
        <v>24</v>
      </c>
      <c r="K99" s="5">
        <v>1000</v>
      </c>
      <c r="L99" s="6"/>
      <c r="M99" s="86">
        <v>8287930730</v>
      </c>
      <c r="N99" s="5">
        <v>99</v>
      </c>
      <c r="O99" s="6">
        <f t="shared" si="3"/>
        <v>99</v>
      </c>
      <c r="P99" s="7">
        <f t="shared" si="2"/>
        <v>-901</v>
      </c>
      <c r="Q99" s="78"/>
      <c r="R99" s="79"/>
      <c r="S99" s="79"/>
    </row>
    <row r="100" spans="1:19" ht="24" x14ac:dyDescent="0.25">
      <c r="A100" s="4">
        <v>98</v>
      </c>
      <c r="B100" s="5">
        <v>5840</v>
      </c>
      <c r="C100" s="3" t="s">
        <v>125</v>
      </c>
      <c r="D100" s="5"/>
      <c r="E100" s="3" t="s">
        <v>44</v>
      </c>
      <c r="F100" s="9" t="s">
        <v>3</v>
      </c>
      <c r="G100" s="5" t="s">
        <v>39</v>
      </c>
      <c r="H100" s="9" t="s">
        <v>5</v>
      </c>
      <c r="I100" s="10" t="s">
        <v>6</v>
      </c>
      <c r="J100" s="3" t="s">
        <v>37</v>
      </c>
      <c r="K100" s="5">
        <v>1000</v>
      </c>
      <c r="L100" s="12"/>
      <c r="M100" s="86">
        <v>8287930731</v>
      </c>
      <c r="N100" s="5">
        <v>99</v>
      </c>
      <c r="O100" s="6">
        <f t="shared" si="3"/>
        <v>99</v>
      </c>
      <c r="P100" s="7">
        <f t="shared" si="2"/>
        <v>-901</v>
      </c>
      <c r="Q100" s="78"/>
      <c r="R100" s="79"/>
      <c r="S100" s="79"/>
    </row>
    <row r="101" spans="1:19" x14ac:dyDescent="0.25">
      <c r="A101" s="4">
        <v>99</v>
      </c>
      <c r="B101" s="5">
        <v>5682</v>
      </c>
      <c r="C101" s="3" t="s">
        <v>126</v>
      </c>
      <c r="D101" s="5"/>
      <c r="E101" s="3" t="s">
        <v>379</v>
      </c>
      <c r="F101" s="5" t="s">
        <v>42</v>
      </c>
      <c r="G101" s="5" t="s">
        <v>385</v>
      </c>
      <c r="H101" s="5" t="s">
        <v>5</v>
      </c>
      <c r="I101" s="3" t="s">
        <v>6</v>
      </c>
      <c r="J101" s="3" t="s">
        <v>7</v>
      </c>
      <c r="K101" s="5">
        <v>2000</v>
      </c>
      <c r="L101" s="12"/>
      <c r="M101" s="86">
        <v>8287930732</v>
      </c>
      <c r="N101" s="5">
        <v>99</v>
      </c>
      <c r="O101" s="6">
        <f t="shared" si="3"/>
        <v>99</v>
      </c>
      <c r="P101" s="7">
        <f t="shared" si="2"/>
        <v>-1901</v>
      </c>
      <c r="Q101" s="78"/>
      <c r="R101" s="79"/>
      <c r="S101" s="79"/>
    </row>
    <row r="102" spans="1:19" ht="24" x14ac:dyDescent="0.25">
      <c r="A102" s="4">
        <v>100</v>
      </c>
      <c r="B102" s="5">
        <v>4898</v>
      </c>
      <c r="C102" s="10" t="s">
        <v>127</v>
      </c>
      <c r="D102" s="5"/>
      <c r="E102" s="3" t="s">
        <v>44</v>
      </c>
      <c r="F102" s="5" t="s">
        <v>3</v>
      </c>
      <c r="G102" s="5" t="s">
        <v>39</v>
      </c>
      <c r="H102" s="5" t="s">
        <v>5</v>
      </c>
      <c r="I102" s="3" t="s">
        <v>6</v>
      </c>
      <c r="J102" s="3" t="s">
        <v>37</v>
      </c>
      <c r="K102" s="9">
        <v>1000</v>
      </c>
      <c r="L102" s="6"/>
      <c r="M102" s="86">
        <v>8287930733</v>
      </c>
      <c r="N102" s="5">
        <v>99</v>
      </c>
      <c r="O102" s="6">
        <f t="shared" si="3"/>
        <v>99</v>
      </c>
      <c r="P102" s="7">
        <f t="shared" si="2"/>
        <v>-901</v>
      </c>
      <c r="Q102" s="78"/>
      <c r="R102" s="79"/>
      <c r="S102" s="79"/>
    </row>
    <row r="103" spans="1:19" ht="24" x14ac:dyDescent="0.25">
      <c r="A103" s="4">
        <v>101</v>
      </c>
      <c r="B103" s="5">
        <v>4919</v>
      </c>
      <c r="C103" s="3" t="s">
        <v>128</v>
      </c>
      <c r="D103" s="5"/>
      <c r="E103" s="3" t="s">
        <v>44</v>
      </c>
      <c r="F103" s="5" t="s">
        <v>3</v>
      </c>
      <c r="G103" s="5" t="s">
        <v>39</v>
      </c>
      <c r="H103" s="5" t="s">
        <v>5</v>
      </c>
      <c r="I103" s="3" t="s">
        <v>6</v>
      </c>
      <c r="J103" s="8" t="s">
        <v>129</v>
      </c>
      <c r="K103" s="5">
        <v>1000</v>
      </c>
      <c r="L103" s="6"/>
      <c r="M103" s="86">
        <v>8287930734</v>
      </c>
      <c r="N103" s="5">
        <v>99</v>
      </c>
      <c r="O103" s="6">
        <f t="shared" si="3"/>
        <v>99</v>
      </c>
      <c r="P103" s="7">
        <f t="shared" si="2"/>
        <v>-901</v>
      </c>
      <c r="Q103" s="78"/>
      <c r="R103" s="79"/>
      <c r="S103" s="79"/>
    </row>
    <row r="104" spans="1:19" ht="24" x14ac:dyDescent="0.25">
      <c r="A104" s="4">
        <v>102</v>
      </c>
      <c r="B104" s="5">
        <v>5876</v>
      </c>
      <c r="C104" s="3" t="s">
        <v>130</v>
      </c>
      <c r="D104" s="5"/>
      <c r="E104" s="3" t="s">
        <v>15</v>
      </c>
      <c r="F104" s="9" t="s">
        <v>3</v>
      </c>
      <c r="G104" s="5" t="s">
        <v>16</v>
      </c>
      <c r="H104" s="9" t="s">
        <v>5</v>
      </c>
      <c r="I104" s="10" t="s">
        <v>6</v>
      </c>
      <c r="J104" s="3" t="s">
        <v>37</v>
      </c>
      <c r="K104" s="5">
        <v>500</v>
      </c>
      <c r="L104" s="12"/>
      <c r="M104" s="86">
        <v>8287930735</v>
      </c>
      <c r="N104" s="5">
        <v>67</v>
      </c>
      <c r="O104" s="6">
        <f t="shared" si="3"/>
        <v>67</v>
      </c>
      <c r="P104" s="7">
        <f t="shared" si="2"/>
        <v>-433</v>
      </c>
      <c r="Q104" s="78"/>
      <c r="R104" s="79"/>
      <c r="S104" s="79"/>
    </row>
    <row r="105" spans="1:19" ht="24" x14ac:dyDescent="0.25">
      <c r="A105" s="4">
        <v>103</v>
      </c>
      <c r="B105" s="5">
        <v>5432</v>
      </c>
      <c r="C105" s="3" t="s">
        <v>131</v>
      </c>
      <c r="D105" s="5"/>
      <c r="E105" s="3" t="s">
        <v>44</v>
      </c>
      <c r="F105" s="5" t="s">
        <v>3</v>
      </c>
      <c r="G105" s="5" t="s">
        <v>39</v>
      </c>
      <c r="H105" s="5" t="s">
        <v>5</v>
      </c>
      <c r="I105" s="3" t="s">
        <v>6</v>
      </c>
      <c r="J105" s="8" t="s">
        <v>7</v>
      </c>
      <c r="K105" s="5">
        <v>1000</v>
      </c>
      <c r="L105" s="6"/>
      <c r="M105" s="86">
        <v>8287930736</v>
      </c>
      <c r="N105" s="5">
        <v>99</v>
      </c>
      <c r="O105" s="6">
        <f t="shared" si="3"/>
        <v>99</v>
      </c>
      <c r="P105" s="7">
        <f t="shared" si="2"/>
        <v>-901</v>
      </c>
      <c r="Q105" s="78"/>
      <c r="R105" s="79"/>
      <c r="S105" s="79"/>
    </row>
    <row r="106" spans="1:19" ht="24" x14ac:dyDescent="0.25">
      <c r="A106" s="4">
        <v>104</v>
      </c>
      <c r="B106" s="5">
        <v>4943</v>
      </c>
      <c r="C106" s="3" t="s">
        <v>132</v>
      </c>
      <c r="D106" s="5" t="s">
        <v>504</v>
      </c>
      <c r="E106" s="3" t="s">
        <v>44</v>
      </c>
      <c r="F106" s="5" t="s">
        <v>3</v>
      </c>
      <c r="G106" s="5" t="s">
        <v>39</v>
      </c>
      <c r="H106" s="5" t="s">
        <v>5</v>
      </c>
      <c r="I106" s="3" t="s">
        <v>6</v>
      </c>
      <c r="J106" s="8" t="s">
        <v>31</v>
      </c>
      <c r="K106" s="5">
        <v>1000</v>
      </c>
      <c r="L106" s="12"/>
      <c r="M106" s="86">
        <v>8287930737</v>
      </c>
      <c r="N106" s="5">
        <v>99</v>
      </c>
      <c r="O106" s="6">
        <f t="shared" si="3"/>
        <v>99</v>
      </c>
      <c r="P106" s="7">
        <f t="shared" si="2"/>
        <v>-901</v>
      </c>
      <c r="Q106" s="78"/>
      <c r="R106" s="79"/>
      <c r="S106" s="79"/>
    </row>
    <row r="107" spans="1:19" ht="24" x14ac:dyDescent="0.25">
      <c r="A107" s="4">
        <v>105</v>
      </c>
      <c r="B107" s="5">
        <v>5355</v>
      </c>
      <c r="C107" s="3" t="s">
        <v>133</v>
      </c>
      <c r="D107" s="5"/>
      <c r="E107" s="3" t="s">
        <v>404</v>
      </c>
      <c r="F107" s="9" t="s">
        <v>3</v>
      </c>
      <c r="G107" s="5" t="s">
        <v>376</v>
      </c>
      <c r="H107" s="9" t="s">
        <v>5</v>
      </c>
      <c r="I107" s="10" t="s">
        <v>6</v>
      </c>
      <c r="J107" s="3" t="s">
        <v>135</v>
      </c>
      <c r="K107" s="5">
        <v>1000</v>
      </c>
      <c r="L107" s="12"/>
      <c r="M107" s="86">
        <v>8287930738</v>
      </c>
      <c r="N107" s="5">
        <v>99</v>
      </c>
      <c r="O107" s="6">
        <f t="shared" si="3"/>
        <v>99</v>
      </c>
      <c r="P107" s="7">
        <f t="shared" si="2"/>
        <v>-901</v>
      </c>
      <c r="Q107" s="78"/>
      <c r="R107" s="79"/>
      <c r="S107" s="79"/>
    </row>
    <row r="108" spans="1:19" ht="24" x14ac:dyDescent="0.25">
      <c r="A108" s="4">
        <v>106</v>
      </c>
      <c r="B108" s="5">
        <v>6033</v>
      </c>
      <c r="C108" s="3" t="s">
        <v>136</v>
      </c>
      <c r="D108" s="5"/>
      <c r="E108" s="3" t="s">
        <v>44</v>
      </c>
      <c r="F108" s="9" t="s">
        <v>3</v>
      </c>
      <c r="G108" s="5" t="s">
        <v>39</v>
      </c>
      <c r="H108" s="9" t="s">
        <v>5</v>
      </c>
      <c r="I108" s="3" t="s">
        <v>6</v>
      </c>
      <c r="J108" s="3" t="s">
        <v>37</v>
      </c>
      <c r="K108" s="5">
        <v>1000</v>
      </c>
      <c r="L108" s="6"/>
      <c r="M108" s="86">
        <v>8287930740</v>
      </c>
      <c r="N108" s="5">
        <v>99</v>
      </c>
      <c r="O108" s="6">
        <f t="shared" si="3"/>
        <v>99</v>
      </c>
      <c r="P108" s="7">
        <f t="shared" si="2"/>
        <v>-901</v>
      </c>
      <c r="Q108" s="78"/>
      <c r="R108" s="79"/>
      <c r="S108" s="79"/>
    </row>
    <row r="109" spans="1:19" ht="24" x14ac:dyDescent="0.25">
      <c r="A109" s="4">
        <v>107</v>
      </c>
      <c r="B109" s="5">
        <v>6599</v>
      </c>
      <c r="C109" s="3" t="s">
        <v>137</v>
      </c>
      <c r="D109" s="5"/>
      <c r="E109" s="3" t="s">
        <v>44</v>
      </c>
      <c r="F109" s="5" t="s">
        <v>42</v>
      </c>
      <c r="G109" s="5" t="s">
        <v>39</v>
      </c>
      <c r="H109" s="5" t="s">
        <v>5</v>
      </c>
      <c r="I109" s="3" t="s">
        <v>6</v>
      </c>
      <c r="J109" s="3" t="s">
        <v>17</v>
      </c>
      <c r="K109" s="5">
        <v>1000</v>
      </c>
      <c r="L109" s="6"/>
      <c r="M109" s="86">
        <v>8287930741</v>
      </c>
      <c r="N109" s="5">
        <v>99</v>
      </c>
      <c r="O109" s="6">
        <f t="shared" si="3"/>
        <v>99</v>
      </c>
      <c r="P109" s="7">
        <f t="shared" si="2"/>
        <v>-901</v>
      </c>
      <c r="Q109" s="78"/>
      <c r="R109" s="79"/>
      <c r="S109" s="79"/>
    </row>
    <row r="110" spans="1:19" ht="24" x14ac:dyDescent="0.25">
      <c r="A110" s="4">
        <v>108</v>
      </c>
      <c r="B110" s="5">
        <v>5328</v>
      </c>
      <c r="C110" s="3" t="s">
        <v>495</v>
      </c>
      <c r="D110" s="5"/>
      <c r="E110" s="3" t="s">
        <v>404</v>
      </c>
      <c r="F110" s="5" t="s">
        <v>3</v>
      </c>
      <c r="G110" s="5" t="s">
        <v>376</v>
      </c>
      <c r="H110" s="5" t="s">
        <v>5</v>
      </c>
      <c r="I110" s="3" t="s">
        <v>6</v>
      </c>
      <c r="J110" s="3" t="s">
        <v>37</v>
      </c>
      <c r="K110" s="5">
        <v>1000</v>
      </c>
      <c r="L110" s="6"/>
      <c r="M110" s="86">
        <v>8287930742</v>
      </c>
      <c r="N110" s="5">
        <v>67</v>
      </c>
      <c r="O110" s="6">
        <f t="shared" si="3"/>
        <v>67</v>
      </c>
      <c r="P110" s="7">
        <f t="shared" si="2"/>
        <v>-933</v>
      </c>
      <c r="Q110" s="78"/>
      <c r="R110" s="79"/>
      <c r="S110" s="79"/>
    </row>
    <row r="111" spans="1:19" ht="24" x14ac:dyDescent="0.25">
      <c r="A111" s="4">
        <v>109</v>
      </c>
      <c r="B111" s="5">
        <v>5837</v>
      </c>
      <c r="C111" s="3" t="s">
        <v>138</v>
      </c>
      <c r="D111" s="5"/>
      <c r="E111" s="3" t="s">
        <v>404</v>
      </c>
      <c r="F111" s="5" t="s">
        <v>3</v>
      </c>
      <c r="G111" s="5" t="s">
        <v>376</v>
      </c>
      <c r="H111" s="5" t="s">
        <v>5</v>
      </c>
      <c r="I111" s="3" t="s">
        <v>6</v>
      </c>
      <c r="J111" s="3" t="s">
        <v>37</v>
      </c>
      <c r="K111" s="5">
        <v>1000</v>
      </c>
      <c r="L111" s="6"/>
      <c r="M111" s="86">
        <v>8287930743</v>
      </c>
      <c r="N111" s="5">
        <v>67</v>
      </c>
      <c r="O111" s="6">
        <f t="shared" si="3"/>
        <v>67</v>
      </c>
      <c r="P111" s="7">
        <f t="shared" si="2"/>
        <v>-933</v>
      </c>
      <c r="Q111" s="78"/>
      <c r="R111" s="79"/>
      <c r="S111" s="79"/>
    </row>
    <row r="112" spans="1:19" ht="24" x14ac:dyDescent="0.25">
      <c r="A112" s="4">
        <v>110</v>
      </c>
      <c r="B112" s="5">
        <v>5697</v>
      </c>
      <c r="C112" s="3" t="s">
        <v>139</v>
      </c>
      <c r="D112" s="5"/>
      <c r="E112" s="3" t="s">
        <v>44</v>
      </c>
      <c r="F112" s="5" t="s">
        <v>3</v>
      </c>
      <c r="G112" s="5" t="s">
        <v>39</v>
      </c>
      <c r="H112" s="5" t="s">
        <v>5</v>
      </c>
      <c r="I112" s="3" t="s">
        <v>6</v>
      </c>
      <c r="J112" s="3" t="s">
        <v>37</v>
      </c>
      <c r="K112" s="5">
        <v>1000</v>
      </c>
      <c r="L112" s="6"/>
      <c r="M112" s="86">
        <v>8287930744</v>
      </c>
      <c r="N112" s="5">
        <v>99</v>
      </c>
      <c r="O112" s="6">
        <f t="shared" si="3"/>
        <v>99</v>
      </c>
      <c r="P112" s="7">
        <f t="shared" si="2"/>
        <v>-901</v>
      </c>
      <c r="Q112" s="78"/>
      <c r="R112" s="79"/>
      <c r="S112" s="79"/>
    </row>
    <row r="113" spans="1:19" x14ac:dyDescent="0.25">
      <c r="A113" s="4">
        <v>111</v>
      </c>
      <c r="B113" s="5">
        <v>5575</v>
      </c>
      <c r="C113" s="3" t="s">
        <v>446</v>
      </c>
      <c r="D113" s="5"/>
      <c r="E113" s="3" t="s">
        <v>15</v>
      </c>
      <c r="F113" s="5" t="s">
        <v>3</v>
      </c>
      <c r="G113" s="5" t="s">
        <v>186</v>
      </c>
      <c r="H113" s="5" t="s">
        <v>5</v>
      </c>
      <c r="I113" s="3" t="s">
        <v>6</v>
      </c>
      <c r="J113" s="3" t="s">
        <v>7</v>
      </c>
      <c r="K113" s="5">
        <v>500</v>
      </c>
      <c r="L113" s="6"/>
      <c r="M113" s="86">
        <v>8287930745</v>
      </c>
      <c r="N113" s="5">
        <v>67</v>
      </c>
      <c r="O113" s="6">
        <f t="shared" si="3"/>
        <v>67</v>
      </c>
      <c r="P113" s="7">
        <f t="shared" si="2"/>
        <v>-433</v>
      </c>
      <c r="Q113" s="78"/>
      <c r="R113" s="79"/>
      <c r="S113" s="79"/>
    </row>
    <row r="114" spans="1:19" ht="24" x14ac:dyDescent="0.25">
      <c r="A114" s="4">
        <v>112</v>
      </c>
      <c r="B114" s="5">
        <v>6596</v>
      </c>
      <c r="C114" s="3" t="s">
        <v>140</v>
      </c>
      <c r="D114" s="5"/>
      <c r="E114" s="3" t="s">
        <v>44</v>
      </c>
      <c r="F114" s="5" t="s">
        <v>42</v>
      </c>
      <c r="G114" s="5" t="s">
        <v>39</v>
      </c>
      <c r="H114" s="5" t="s">
        <v>5</v>
      </c>
      <c r="I114" s="10" t="s">
        <v>6</v>
      </c>
      <c r="J114" s="10" t="s">
        <v>7</v>
      </c>
      <c r="K114" s="5">
        <v>1000</v>
      </c>
      <c r="L114" s="6"/>
      <c r="M114" s="86">
        <v>8287930746</v>
      </c>
      <c r="N114" s="5">
        <v>99</v>
      </c>
      <c r="O114" s="6">
        <f t="shared" si="3"/>
        <v>99</v>
      </c>
      <c r="P114" s="7">
        <f t="shared" si="2"/>
        <v>-901</v>
      </c>
      <c r="Q114" s="78"/>
      <c r="R114" s="79"/>
      <c r="S114" s="79"/>
    </row>
    <row r="115" spans="1:19" ht="24" x14ac:dyDescent="0.25">
      <c r="A115" s="4">
        <v>113</v>
      </c>
      <c r="B115" s="5">
        <v>6493</v>
      </c>
      <c r="C115" s="3" t="s">
        <v>141</v>
      </c>
      <c r="D115" s="5"/>
      <c r="E115" s="3" t="s">
        <v>44</v>
      </c>
      <c r="F115" s="5" t="s">
        <v>42</v>
      </c>
      <c r="G115" s="5" t="s">
        <v>39</v>
      </c>
      <c r="H115" s="5" t="s">
        <v>5</v>
      </c>
      <c r="I115" s="10" t="s">
        <v>6</v>
      </c>
      <c r="J115" s="10" t="s">
        <v>7</v>
      </c>
      <c r="K115" s="5">
        <v>1000</v>
      </c>
      <c r="L115" s="6"/>
      <c r="M115" s="86">
        <v>8287930747</v>
      </c>
      <c r="N115" s="5">
        <v>99</v>
      </c>
      <c r="O115" s="6">
        <f t="shared" si="3"/>
        <v>99</v>
      </c>
      <c r="P115" s="7">
        <f t="shared" si="2"/>
        <v>-901</v>
      </c>
      <c r="Q115" s="78"/>
      <c r="R115" s="79"/>
      <c r="S115" s="79"/>
    </row>
    <row r="116" spans="1:19" ht="24" x14ac:dyDescent="0.25">
      <c r="A116" s="4">
        <v>114</v>
      </c>
      <c r="B116" s="5">
        <v>4929</v>
      </c>
      <c r="C116" s="3" t="s">
        <v>142</v>
      </c>
      <c r="D116" s="5"/>
      <c r="E116" s="3" t="s">
        <v>44</v>
      </c>
      <c r="F116" s="5" t="s">
        <v>3</v>
      </c>
      <c r="G116" s="5" t="s">
        <v>39</v>
      </c>
      <c r="H116" s="5" t="s">
        <v>5</v>
      </c>
      <c r="I116" s="10" t="s">
        <v>6</v>
      </c>
      <c r="J116" s="3" t="s">
        <v>37</v>
      </c>
      <c r="K116" s="5">
        <v>1000</v>
      </c>
      <c r="L116" s="6"/>
      <c r="M116" s="86">
        <v>8287930748</v>
      </c>
      <c r="N116" s="5">
        <v>0</v>
      </c>
      <c r="O116" s="6">
        <f t="shared" si="3"/>
        <v>0</v>
      </c>
      <c r="P116" s="7">
        <f t="shared" si="2"/>
        <v>-1000</v>
      </c>
      <c r="Q116" s="78"/>
      <c r="R116" s="79"/>
      <c r="S116" s="79"/>
    </row>
    <row r="117" spans="1:19" x14ac:dyDescent="0.25">
      <c r="A117" s="4">
        <v>115</v>
      </c>
      <c r="B117" s="5">
        <v>6490</v>
      </c>
      <c r="C117" s="3" t="s">
        <v>143</v>
      </c>
      <c r="D117" s="5"/>
      <c r="E117" s="3" t="s">
        <v>144</v>
      </c>
      <c r="F117" s="5" t="s">
        <v>42</v>
      </c>
      <c r="G117" s="5" t="s">
        <v>145</v>
      </c>
      <c r="H117" s="5" t="s">
        <v>5</v>
      </c>
      <c r="I117" s="3" t="s">
        <v>6</v>
      </c>
      <c r="J117" s="3" t="s">
        <v>7</v>
      </c>
      <c r="K117" s="5">
        <v>1000</v>
      </c>
      <c r="L117" s="6"/>
      <c r="M117" s="86">
        <v>8287930749</v>
      </c>
      <c r="N117" s="5">
        <v>99</v>
      </c>
      <c r="O117" s="6">
        <f t="shared" si="3"/>
        <v>99</v>
      </c>
      <c r="P117" s="7">
        <f t="shared" si="2"/>
        <v>-901</v>
      </c>
      <c r="Q117" s="78"/>
      <c r="R117" s="79"/>
      <c r="S117" s="79"/>
    </row>
    <row r="118" spans="1:19" x14ac:dyDescent="0.25">
      <c r="A118" s="4">
        <v>116</v>
      </c>
      <c r="B118" s="11">
        <v>2646</v>
      </c>
      <c r="C118" s="3" t="s">
        <v>501</v>
      </c>
      <c r="D118" s="5"/>
      <c r="E118" s="3" t="s">
        <v>397</v>
      </c>
      <c r="F118" s="5" t="s">
        <v>26</v>
      </c>
      <c r="G118" s="5" t="s">
        <v>399</v>
      </c>
      <c r="H118" s="5" t="s">
        <v>253</v>
      </c>
      <c r="I118" s="3" t="s">
        <v>6</v>
      </c>
      <c r="J118" s="3" t="s">
        <v>7</v>
      </c>
      <c r="K118" s="5">
        <v>4000</v>
      </c>
      <c r="L118" s="6"/>
      <c r="M118" s="86">
        <v>8287930750</v>
      </c>
      <c r="N118" s="5">
        <v>0</v>
      </c>
      <c r="O118" s="6">
        <f t="shared" si="3"/>
        <v>0</v>
      </c>
      <c r="P118" s="7">
        <f t="shared" si="2"/>
        <v>-4000</v>
      </c>
      <c r="Q118" s="78"/>
      <c r="R118" s="79"/>
      <c r="S118" s="79"/>
    </row>
    <row r="119" spans="1:19" ht="24" x14ac:dyDescent="0.25">
      <c r="A119" s="4">
        <v>117</v>
      </c>
      <c r="B119" s="3">
        <v>6601</v>
      </c>
      <c r="C119" s="3" t="s">
        <v>146</v>
      </c>
      <c r="D119" s="5"/>
      <c r="E119" s="3" t="s">
        <v>44</v>
      </c>
      <c r="F119" s="3" t="s">
        <v>42</v>
      </c>
      <c r="G119" s="3" t="s">
        <v>39</v>
      </c>
      <c r="H119" s="5" t="s">
        <v>5</v>
      </c>
      <c r="I119" s="3" t="s">
        <v>6</v>
      </c>
      <c r="J119" s="3" t="s">
        <v>7</v>
      </c>
      <c r="K119" s="5">
        <v>1000</v>
      </c>
      <c r="L119" s="6"/>
      <c r="M119" s="86">
        <v>8287930751</v>
      </c>
      <c r="N119" s="5">
        <v>99</v>
      </c>
      <c r="O119" s="6">
        <f t="shared" si="3"/>
        <v>99</v>
      </c>
      <c r="P119" s="7">
        <f t="shared" si="2"/>
        <v>-901</v>
      </c>
      <c r="Q119" s="78"/>
      <c r="R119" s="79"/>
      <c r="S119" s="79"/>
    </row>
    <row r="120" spans="1:19" ht="24" x14ac:dyDescent="0.25">
      <c r="A120" s="4">
        <v>118</v>
      </c>
      <c r="B120" s="5">
        <v>5196</v>
      </c>
      <c r="C120" s="3" t="s">
        <v>463</v>
      </c>
      <c r="D120" s="5"/>
      <c r="E120" s="3" t="s">
        <v>44</v>
      </c>
      <c r="F120" s="9" t="s">
        <v>3</v>
      </c>
      <c r="G120" s="5" t="s">
        <v>39</v>
      </c>
      <c r="H120" s="9" t="s">
        <v>5</v>
      </c>
      <c r="I120" s="10" t="s">
        <v>6</v>
      </c>
      <c r="J120" s="3" t="s">
        <v>424</v>
      </c>
      <c r="K120" s="5">
        <v>1000</v>
      </c>
      <c r="L120" s="6"/>
      <c r="M120" s="86">
        <v>8287930752</v>
      </c>
      <c r="N120" s="5">
        <v>99</v>
      </c>
      <c r="O120" s="6">
        <f t="shared" si="3"/>
        <v>99</v>
      </c>
      <c r="P120" s="7">
        <f t="shared" si="2"/>
        <v>-901</v>
      </c>
      <c r="Q120" s="78"/>
      <c r="R120" s="79"/>
      <c r="S120" s="79"/>
    </row>
    <row r="121" spans="1:19" ht="24" x14ac:dyDescent="0.25">
      <c r="A121" s="4">
        <v>119</v>
      </c>
      <c r="B121" s="22">
        <v>5009</v>
      </c>
      <c r="C121" s="10" t="s">
        <v>147</v>
      </c>
      <c r="D121" s="3"/>
      <c r="E121" s="3" t="s">
        <v>44</v>
      </c>
      <c r="F121" s="3" t="s">
        <v>3</v>
      </c>
      <c r="G121" s="3" t="s">
        <v>145</v>
      </c>
      <c r="H121" s="10" t="s">
        <v>5</v>
      </c>
      <c r="I121" s="8" t="s">
        <v>6</v>
      </c>
      <c r="J121" s="3" t="s">
        <v>37</v>
      </c>
      <c r="K121" s="3">
        <v>1000</v>
      </c>
      <c r="L121" s="13"/>
      <c r="M121" s="85">
        <v>8287930754</v>
      </c>
      <c r="N121" s="5">
        <v>99</v>
      </c>
      <c r="O121" s="6">
        <f t="shared" si="3"/>
        <v>99</v>
      </c>
      <c r="P121" s="7">
        <f t="shared" si="2"/>
        <v>-901</v>
      </c>
      <c r="Q121" s="78"/>
      <c r="R121" s="79"/>
      <c r="S121" s="79"/>
    </row>
    <row r="122" spans="1:19" x14ac:dyDescent="0.25">
      <c r="A122" s="4">
        <v>120</v>
      </c>
      <c r="B122" s="75">
        <v>6752</v>
      </c>
      <c r="C122" s="76" t="s">
        <v>486</v>
      </c>
      <c r="D122" s="5"/>
      <c r="E122" s="76" t="s">
        <v>263</v>
      </c>
      <c r="F122" s="75" t="s">
        <v>42</v>
      </c>
      <c r="G122" s="75" t="s">
        <v>399</v>
      </c>
      <c r="H122" s="75" t="s">
        <v>5</v>
      </c>
      <c r="I122" s="76" t="s">
        <v>6</v>
      </c>
      <c r="J122" s="76" t="s">
        <v>7</v>
      </c>
      <c r="K122" s="5">
        <v>1000</v>
      </c>
      <c r="L122" s="12"/>
      <c r="M122" s="86">
        <v>8287930755</v>
      </c>
      <c r="N122" s="5">
        <v>67</v>
      </c>
      <c r="O122" s="6">
        <v>67</v>
      </c>
      <c r="P122" s="7">
        <f t="shared" si="2"/>
        <v>-933</v>
      </c>
      <c r="Q122" s="78"/>
      <c r="R122" s="79"/>
      <c r="S122" s="79"/>
    </row>
    <row r="123" spans="1:19" x14ac:dyDescent="0.25">
      <c r="A123" s="4">
        <v>121</v>
      </c>
      <c r="B123" s="5">
        <v>6456</v>
      </c>
      <c r="C123" s="3" t="s">
        <v>149</v>
      </c>
      <c r="D123" s="5"/>
      <c r="E123" s="3" t="s">
        <v>144</v>
      </c>
      <c r="F123" s="5" t="s">
        <v>12</v>
      </c>
      <c r="G123" s="5" t="s">
        <v>145</v>
      </c>
      <c r="H123" s="5" t="s">
        <v>5</v>
      </c>
      <c r="I123" s="10" t="s">
        <v>6</v>
      </c>
      <c r="J123" s="3" t="s">
        <v>7</v>
      </c>
      <c r="K123" s="5">
        <v>1000</v>
      </c>
      <c r="L123" s="6"/>
      <c r="M123" s="86">
        <v>8287930756</v>
      </c>
      <c r="N123" s="5">
        <v>99</v>
      </c>
      <c r="O123" s="6">
        <f t="shared" si="3"/>
        <v>99</v>
      </c>
      <c r="P123" s="7">
        <f t="shared" si="2"/>
        <v>-901</v>
      </c>
      <c r="Q123" s="78"/>
      <c r="R123" s="79"/>
      <c r="S123" s="79"/>
    </row>
    <row r="124" spans="1:19" x14ac:dyDescent="0.25">
      <c r="A124" s="4">
        <v>122</v>
      </c>
      <c r="B124" s="11">
        <v>4957</v>
      </c>
      <c r="C124" s="22" t="s">
        <v>419</v>
      </c>
      <c r="D124" s="11"/>
      <c r="E124" s="22" t="s">
        <v>379</v>
      </c>
      <c r="F124" s="80" t="s">
        <v>3</v>
      </c>
      <c r="G124" s="11" t="s">
        <v>385</v>
      </c>
      <c r="H124" s="80" t="s">
        <v>5</v>
      </c>
      <c r="I124" s="22" t="s">
        <v>6</v>
      </c>
      <c r="J124" s="22" t="s">
        <v>113</v>
      </c>
      <c r="K124" s="11">
        <v>1000</v>
      </c>
      <c r="L124" s="81"/>
      <c r="M124" s="124">
        <v>8287930758</v>
      </c>
      <c r="N124" s="11">
        <v>0</v>
      </c>
      <c r="O124" s="81">
        <f t="shared" si="3"/>
        <v>0</v>
      </c>
      <c r="P124" s="82">
        <f t="shared" si="2"/>
        <v>-1000</v>
      </c>
      <c r="Q124" s="78"/>
      <c r="R124" s="79"/>
      <c r="S124" s="79"/>
    </row>
    <row r="125" spans="1:19" x14ac:dyDescent="0.25">
      <c r="A125" s="4">
        <v>123</v>
      </c>
      <c r="B125" s="11">
        <v>6511</v>
      </c>
      <c r="C125" s="3" t="s">
        <v>150</v>
      </c>
      <c r="D125" s="14"/>
      <c r="E125" s="3" t="s">
        <v>144</v>
      </c>
      <c r="F125" s="5" t="s">
        <v>42</v>
      </c>
      <c r="G125" s="5" t="s">
        <v>145</v>
      </c>
      <c r="H125" s="9" t="s">
        <v>5</v>
      </c>
      <c r="I125" s="3" t="s">
        <v>6</v>
      </c>
      <c r="J125" s="3" t="s">
        <v>7</v>
      </c>
      <c r="K125" s="5">
        <v>1000</v>
      </c>
      <c r="L125" s="6"/>
      <c r="M125" s="86">
        <v>8287930759</v>
      </c>
      <c r="N125" s="5">
        <v>99</v>
      </c>
      <c r="O125" s="6">
        <f t="shared" si="3"/>
        <v>99</v>
      </c>
      <c r="P125" s="7">
        <f t="shared" si="2"/>
        <v>-901</v>
      </c>
      <c r="Q125" s="78"/>
      <c r="R125" s="79"/>
      <c r="S125" s="79"/>
    </row>
    <row r="126" spans="1:19" x14ac:dyDescent="0.25">
      <c r="A126" s="4">
        <v>124</v>
      </c>
      <c r="B126" s="14">
        <v>4858</v>
      </c>
      <c r="C126" s="16" t="s">
        <v>151</v>
      </c>
      <c r="D126" s="14"/>
      <c r="E126" s="3" t="s">
        <v>152</v>
      </c>
      <c r="F126" s="5" t="s">
        <v>3</v>
      </c>
      <c r="G126" s="14" t="s">
        <v>376</v>
      </c>
      <c r="H126" s="5" t="s">
        <v>5</v>
      </c>
      <c r="I126" s="10" t="s">
        <v>6</v>
      </c>
      <c r="J126" s="3" t="s">
        <v>19</v>
      </c>
      <c r="K126" s="5">
        <v>1000</v>
      </c>
      <c r="L126" s="6"/>
      <c r="M126" s="86">
        <v>8287930760</v>
      </c>
      <c r="N126" s="5">
        <v>99</v>
      </c>
      <c r="O126" s="6">
        <f t="shared" si="3"/>
        <v>99</v>
      </c>
      <c r="P126" s="7">
        <f t="shared" si="2"/>
        <v>-901</v>
      </c>
      <c r="Q126" s="78"/>
      <c r="R126" s="79"/>
      <c r="S126" s="79"/>
    </row>
    <row r="127" spans="1:19" ht="24" x14ac:dyDescent="0.25">
      <c r="A127" s="4">
        <v>125</v>
      </c>
      <c r="B127" s="14">
        <v>4859</v>
      </c>
      <c r="C127" s="16" t="s">
        <v>153</v>
      </c>
      <c r="D127" s="14"/>
      <c r="E127" s="3" t="s">
        <v>152</v>
      </c>
      <c r="F127" s="5" t="s">
        <v>3</v>
      </c>
      <c r="G127" s="14" t="s">
        <v>376</v>
      </c>
      <c r="H127" s="5" t="s">
        <v>5</v>
      </c>
      <c r="I127" s="10" t="s">
        <v>6</v>
      </c>
      <c r="J127" s="3" t="s">
        <v>37</v>
      </c>
      <c r="K127" s="5">
        <v>1000</v>
      </c>
      <c r="L127" s="6"/>
      <c r="M127" s="86">
        <v>8287930761</v>
      </c>
      <c r="N127" s="5">
        <v>99</v>
      </c>
      <c r="O127" s="6">
        <f t="shared" si="3"/>
        <v>99</v>
      </c>
      <c r="P127" s="7">
        <f t="shared" si="2"/>
        <v>-901</v>
      </c>
      <c r="Q127" s="78"/>
      <c r="R127" s="79"/>
      <c r="S127" s="79"/>
    </row>
    <row r="128" spans="1:19" ht="24" x14ac:dyDescent="0.25">
      <c r="A128" s="4">
        <v>126</v>
      </c>
      <c r="B128" s="14">
        <v>4863</v>
      </c>
      <c r="C128" s="16" t="s">
        <v>154</v>
      </c>
      <c r="D128" s="14"/>
      <c r="E128" s="3" t="s">
        <v>152</v>
      </c>
      <c r="F128" s="5" t="s">
        <v>3</v>
      </c>
      <c r="G128" s="14" t="s">
        <v>376</v>
      </c>
      <c r="H128" s="5" t="s">
        <v>5</v>
      </c>
      <c r="I128" s="10" t="s">
        <v>6</v>
      </c>
      <c r="J128" s="3" t="s">
        <v>37</v>
      </c>
      <c r="K128" s="5">
        <v>1000</v>
      </c>
      <c r="L128" s="6"/>
      <c r="M128" s="86">
        <v>8287930762</v>
      </c>
      <c r="N128" s="5">
        <v>28.74</v>
      </c>
      <c r="O128" s="6">
        <f t="shared" si="3"/>
        <v>28.74</v>
      </c>
      <c r="P128" s="7">
        <f t="shared" si="2"/>
        <v>-971.26</v>
      </c>
      <c r="Q128" s="78"/>
      <c r="R128" s="79"/>
      <c r="S128" s="79"/>
    </row>
    <row r="129" spans="1:19" x14ac:dyDescent="0.25">
      <c r="A129" s="4">
        <v>127</v>
      </c>
      <c r="B129" s="14">
        <v>5867</v>
      </c>
      <c r="C129" s="16" t="s">
        <v>496</v>
      </c>
      <c r="D129" s="14"/>
      <c r="E129" s="3" t="s">
        <v>152</v>
      </c>
      <c r="F129" s="5" t="s">
        <v>3</v>
      </c>
      <c r="G129" s="14" t="s">
        <v>376</v>
      </c>
      <c r="H129" s="5" t="s">
        <v>5</v>
      </c>
      <c r="I129" s="10" t="s">
        <v>6</v>
      </c>
      <c r="J129" s="3" t="s">
        <v>497</v>
      </c>
      <c r="K129" s="5">
        <v>1000</v>
      </c>
      <c r="L129" s="6"/>
      <c r="M129" s="86">
        <v>8287930763</v>
      </c>
      <c r="N129" s="5">
        <v>28.74</v>
      </c>
      <c r="O129" s="6">
        <f t="shared" si="3"/>
        <v>28.74</v>
      </c>
      <c r="P129" s="7">
        <f t="shared" si="2"/>
        <v>-971.26</v>
      </c>
      <c r="Q129" s="78"/>
      <c r="R129" s="79"/>
      <c r="S129" s="79"/>
    </row>
    <row r="130" spans="1:19" ht="24" x14ac:dyDescent="0.25">
      <c r="A130" s="4">
        <v>128</v>
      </c>
      <c r="B130" s="14">
        <v>5237</v>
      </c>
      <c r="C130" s="16" t="s">
        <v>155</v>
      </c>
      <c r="D130" s="14"/>
      <c r="E130" s="3" t="s">
        <v>152</v>
      </c>
      <c r="F130" s="5" t="s">
        <v>3</v>
      </c>
      <c r="G130" s="14" t="s">
        <v>376</v>
      </c>
      <c r="H130" s="5" t="s">
        <v>5</v>
      </c>
      <c r="I130" s="10" t="s">
        <v>6</v>
      </c>
      <c r="J130" s="3" t="s">
        <v>37</v>
      </c>
      <c r="K130" s="5">
        <v>1000</v>
      </c>
      <c r="L130" s="6"/>
      <c r="M130" s="86">
        <v>8287930764</v>
      </c>
      <c r="N130" s="5">
        <v>99</v>
      </c>
      <c r="O130" s="6">
        <f t="shared" si="3"/>
        <v>99</v>
      </c>
      <c r="P130" s="7">
        <f t="shared" si="2"/>
        <v>-901</v>
      </c>
      <c r="Q130" s="78"/>
      <c r="R130" s="79"/>
      <c r="S130" s="79"/>
    </row>
    <row r="131" spans="1:19" x14ac:dyDescent="0.25">
      <c r="A131" s="4">
        <v>129</v>
      </c>
      <c r="B131" s="23">
        <v>5300</v>
      </c>
      <c r="C131" s="15" t="s">
        <v>498</v>
      </c>
      <c r="D131" s="14"/>
      <c r="E131" s="3" t="s">
        <v>152</v>
      </c>
      <c r="F131" s="5" t="s">
        <v>3</v>
      </c>
      <c r="G131" s="14" t="s">
        <v>376</v>
      </c>
      <c r="H131" s="5" t="s">
        <v>5</v>
      </c>
      <c r="I131" s="10" t="s">
        <v>6</v>
      </c>
      <c r="J131" s="3" t="s">
        <v>88</v>
      </c>
      <c r="K131" s="5">
        <v>1000</v>
      </c>
      <c r="L131" s="6"/>
      <c r="M131" s="86">
        <v>8287930765</v>
      </c>
      <c r="N131" s="5">
        <v>28.74</v>
      </c>
      <c r="O131" s="6">
        <f t="shared" si="3"/>
        <v>28.74</v>
      </c>
      <c r="P131" s="7">
        <f t="shared" si="2"/>
        <v>-971.26</v>
      </c>
      <c r="Q131" s="78"/>
      <c r="R131" s="79"/>
      <c r="S131" s="79"/>
    </row>
    <row r="132" spans="1:19" ht="24" x14ac:dyDescent="0.25">
      <c r="A132" s="4">
        <v>130</v>
      </c>
      <c r="B132" s="14">
        <v>5487</v>
      </c>
      <c r="C132" s="16" t="s">
        <v>156</v>
      </c>
      <c r="D132" s="14"/>
      <c r="E132" s="3" t="s">
        <v>152</v>
      </c>
      <c r="F132" s="5" t="s">
        <v>3</v>
      </c>
      <c r="G132" s="14" t="s">
        <v>376</v>
      </c>
      <c r="H132" s="5" t="s">
        <v>5</v>
      </c>
      <c r="I132" s="10" t="s">
        <v>6</v>
      </c>
      <c r="J132" s="3" t="s">
        <v>37</v>
      </c>
      <c r="K132" s="5">
        <v>1000</v>
      </c>
      <c r="L132" s="6"/>
      <c r="M132" s="86">
        <v>8287930766</v>
      </c>
      <c r="N132" s="5">
        <v>99</v>
      </c>
      <c r="O132" s="6">
        <f t="shared" si="3"/>
        <v>99</v>
      </c>
      <c r="P132" s="7">
        <f t="shared" ref="P132:P195" si="4">O132-K132</f>
        <v>-901</v>
      </c>
      <c r="Q132" s="78"/>
      <c r="R132" s="79"/>
      <c r="S132" s="79"/>
    </row>
    <row r="133" spans="1:19" ht="24" x14ac:dyDescent="0.25">
      <c r="A133" s="4">
        <v>131</v>
      </c>
      <c r="B133" s="9">
        <v>5492</v>
      </c>
      <c r="C133" s="3" t="s">
        <v>157</v>
      </c>
      <c r="D133" s="5"/>
      <c r="E133" s="3" t="s">
        <v>152</v>
      </c>
      <c r="F133" s="5" t="s">
        <v>3</v>
      </c>
      <c r="G133" s="14" t="s">
        <v>376</v>
      </c>
      <c r="H133" s="5" t="s">
        <v>5</v>
      </c>
      <c r="I133" s="3" t="s">
        <v>6</v>
      </c>
      <c r="J133" s="3" t="s">
        <v>37</v>
      </c>
      <c r="K133" s="5">
        <v>1000</v>
      </c>
      <c r="L133" s="6"/>
      <c r="M133" s="86">
        <v>8287930767</v>
      </c>
      <c r="N133" s="5">
        <v>99</v>
      </c>
      <c r="O133" s="6">
        <f t="shared" ref="O133:O196" si="5">L133+N133</f>
        <v>99</v>
      </c>
      <c r="P133" s="7">
        <f t="shared" si="4"/>
        <v>-901</v>
      </c>
      <c r="Q133" s="78"/>
      <c r="R133" s="79"/>
      <c r="S133" s="79"/>
    </row>
    <row r="134" spans="1:19" ht="24" x14ac:dyDescent="0.25">
      <c r="A134" s="4">
        <v>132</v>
      </c>
      <c r="B134" s="14">
        <v>5496</v>
      </c>
      <c r="C134" s="16" t="s">
        <v>158</v>
      </c>
      <c r="D134" s="14"/>
      <c r="E134" s="3" t="s">
        <v>152</v>
      </c>
      <c r="F134" s="5" t="s">
        <v>3</v>
      </c>
      <c r="G134" s="14" t="s">
        <v>376</v>
      </c>
      <c r="H134" s="5" t="s">
        <v>5</v>
      </c>
      <c r="I134" s="10" t="s">
        <v>6</v>
      </c>
      <c r="J134" s="3" t="s">
        <v>37</v>
      </c>
      <c r="K134" s="5">
        <v>1000</v>
      </c>
      <c r="L134" s="6"/>
      <c r="M134" s="86">
        <v>8287930768</v>
      </c>
      <c r="N134" s="5">
        <v>99</v>
      </c>
      <c r="O134" s="6">
        <f t="shared" si="5"/>
        <v>99</v>
      </c>
      <c r="P134" s="7">
        <f t="shared" si="4"/>
        <v>-901</v>
      </c>
      <c r="Q134" s="78"/>
      <c r="R134" s="79"/>
      <c r="S134" s="79"/>
    </row>
    <row r="135" spans="1:19" ht="24" x14ac:dyDescent="0.25">
      <c r="A135" s="4">
        <v>133</v>
      </c>
      <c r="B135" s="5">
        <v>5498</v>
      </c>
      <c r="C135" s="3" t="s">
        <v>159</v>
      </c>
      <c r="D135" s="5"/>
      <c r="E135" s="3" t="s">
        <v>152</v>
      </c>
      <c r="F135" s="5" t="s">
        <v>3</v>
      </c>
      <c r="G135" s="14" t="s">
        <v>376</v>
      </c>
      <c r="H135" s="5" t="s">
        <v>5</v>
      </c>
      <c r="I135" s="3" t="s">
        <v>6</v>
      </c>
      <c r="J135" s="3" t="s">
        <v>37</v>
      </c>
      <c r="K135" s="5">
        <v>1000</v>
      </c>
      <c r="L135" s="6"/>
      <c r="M135" s="86">
        <v>8287930769</v>
      </c>
      <c r="N135" s="5">
        <v>99</v>
      </c>
      <c r="O135" s="6">
        <f t="shared" si="5"/>
        <v>99</v>
      </c>
      <c r="P135" s="7">
        <f t="shared" si="4"/>
        <v>-901</v>
      </c>
      <c r="Q135" s="78"/>
      <c r="R135" s="79"/>
      <c r="S135" s="79"/>
    </row>
    <row r="136" spans="1:19" ht="24" x14ac:dyDescent="0.25">
      <c r="A136" s="4">
        <v>134</v>
      </c>
      <c r="B136" s="14">
        <v>5498</v>
      </c>
      <c r="C136" s="16" t="s">
        <v>160</v>
      </c>
      <c r="D136" s="14"/>
      <c r="E136" s="3" t="s">
        <v>15</v>
      </c>
      <c r="F136" s="5" t="s">
        <v>3</v>
      </c>
      <c r="G136" s="14" t="s">
        <v>16</v>
      </c>
      <c r="H136" s="5" t="s">
        <v>5</v>
      </c>
      <c r="I136" s="10" t="s">
        <v>6</v>
      </c>
      <c r="J136" s="3" t="s">
        <v>37</v>
      </c>
      <c r="K136" s="5">
        <v>1000</v>
      </c>
      <c r="L136" s="6"/>
      <c r="M136" s="86">
        <v>8287930770</v>
      </c>
      <c r="N136" s="5">
        <v>67</v>
      </c>
      <c r="O136" s="6">
        <f t="shared" si="5"/>
        <v>67</v>
      </c>
      <c r="P136" s="7">
        <f t="shared" si="4"/>
        <v>-933</v>
      </c>
      <c r="Q136" s="78"/>
      <c r="R136" s="79"/>
      <c r="S136" s="79"/>
    </row>
    <row r="137" spans="1:19" ht="24" x14ac:dyDescent="0.25">
      <c r="A137" s="4">
        <v>135</v>
      </c>
      <c r="B137" s="14">
        <v>5879</v>
      </c>
      <c r="C137" s="16" t="s">
        <v>161</v>
      </c>
      <c r="D137" s="14"/>
      <c r="E137" s="3" t="s">
        <v>404</v>
      </c>
      <c r="F137" s="5" t="s">
        <v>3</v>
      </c>
      <c r="G137" s="14" t="s">
        <v>376</v>
      </c>
      <c r="H137" s="5" t="s">
        <v>5</v>
      </c>
      <c r="I137" s="10" t="s">
        <v>6</v>
      </c>
      <c r="J137" s="3" t="s">
        <v>37</v>
      </c>
      <c r="K137" s="5">
        <v>1000</v>
      </c>
      <c r="L137" s="6"/>
      <c r="M137" s="86">
        <v>8287930771</v>
      </c>
      <c r="N137" s="5">
        <v>0</v>
      </c>
      <c r="O137" s="6">
        <f>L137+N137</f>
        <v>0</v>
      </c>
      <c r="P137" s="7">
        <f t="shared" si="4"/>
        <v>-1000</v>
      </c>
      <c r="Q137" s="78"/>
      <c r="R137" s="79"/>
      <c r="S137" s="79"/>
    </row>
    <row r="138" spans="1:19" ht="24" x14ac:dyDescent="0.25">
      <c r="A138" s="4">
        <v>136</v>
      </c>
      <c r="B138" s="5">
        <v>5882</v>
      </c>
      <c r="C138" s="3" t="s">
        <v>243</v>
      </c>
      <c r="D138" s="5"/>
      <c r="E138" s="3" t="s">
        <v>404</v>
      </c>
      <c r="F138" s="5" t="s">
        <v>3</v>
      </c>
      <c r="G138" s="14" t="s">
        <v>376</v>
      </c>
      <c r="H138" s="5" t="s">
        <v>5</v>
      </c>
      <c r="I138" s="10" t="s">
        <v>6</v>
      </c>
      <c r="J138" s="3" t="s">
        <v>82</v>
      </c>
      <c r="K138" s="5">
        <v>1000</v>
      </c>
      <c r="L138" s="6"/>
      <c r="M138" s="86">
        <v>8287930772</v>
      </c>
      <c r="N138" s="5">
        <v>99</v>
      </c>
      <c r="O138" s="6">
        <f t="shared" si="5"/>
        <v>99</v>
      </c>
      <c r="P138" s="7">
        <f t="shared" si="4"/>
        <v>-901</v>
      </c>
      <c r="Q138" s="78"/>
      <c r="R138" s="79"/>
      <c r="S138" s="79"/>
    </row>
    <row r="139" spans="1:19" ht="24" x14ac:dyDescent="0.25">
      <c r="A139" s="4">
        <v>137</v>
      </c>
      <c r="B139" s="14">
        <v>5883</v>
      </c>
      <c r="C139" s="16" t="s">
        <v>163</v>
      </c>
      <c r="D139" s="14"/>
      <c r="E139" s="3" t="s">
        <v>404</v>
      </c>
      <c r="F139" s="5" t="s">
        <v>3</v>
      </c>
      <c r="G139" s="14" t="s">
        <v>376</v>
      </c>
      <c r="H139" s="5" t="s">
        <v>5</v>
      </c>
      <c r="I139" s="10" t="s">
        <v>6</v>
      </c>
      <c r="J139" s="3" t="s">
        <v>37</v>
      </c>
      <c r="K139" s="5">
        <v>1000</v>
      </c>
      <c r="L139" s="6"/>
      <c r="M139" s="86">
        <v>8287930773</v>
      </c>
      <c r="N139" s="5">
        <v>99</v>
      </c>
      <c r="O139" s="6">
        <f t="shared" si="5"/>
        <v>99</v>
      </c>
      <c r="P139" s="7">
        <f t="shared" si="4"/>
        <v>-901</v>
      </c>
      <c r="Q139" s="78"/>
      <c r="R139" s="79"/>
      <c r="S139" s="79"/>
    </row>
    <row r="140" spans="1:19" ht="24" x14ac:dyDescent="0.25">
      <c r="A140" s="4">
        <v>138</v>
      </c>
      <c r="B140" s="14">
        <v>5898</v>
      </c>
      <c r="C140" s="16" t="s">
        <v>164</v>
      </c>
      <c r="D140" s="14"/>
      <c r="E140" s="3" t="s">
        <v>404</v>
      </c>
      <c r="F140" s="5" t="s">
        <v>3</v>
      </c>
      <c r="G140" s="14" t="s">
        <v>376</v>
      </c>
      <c r="H140" s="5" t="s">
        <v>5</v>
      </c>
      <c r="I140" s="10" t="s">
        <v>6</v>
      </c>
      <c r="J140" s="3" t="s">
        <v>37</v>
      </c>
      <c r="K140" s="5">
        <v>1000</v>
      </c>
      <c r="L140" s="6"/>
      <c r="M140" s="86">
        <v>8287930774</v>
      </c>
      <c r="N140" s="5">
        <v>99</v>
      </c>
      <c r="O140" s="6">
        <f t="shared" si="5"/>
        <v>99</v>
      </c>
      <c r="P140" s="7">
        <f t="shared" si="4"/>
        <v>-901</v>
      </c>
      <c r="Q140" s="78"/>
      <c r="R140" s="79"/>
      <c r="S140" s="79"/>
    </row>
    <row r="141" spans="1:19" ht="24" x14ac:dyDescent="0.25">
      <c r="A141" s="4">
        <v>139</v>
      </c>
      <c r="B141" s="14">
        <v>6226</v>
      </c>
      <c r="C141" s="16" t="s">
        <v>165</v>
      </c>
      <c r="D141" s="14"/>
      <c r="E141" s="3" t="s">
        <v>404</v>
      </c>
      <c r="F141" s="5" t="s">
        <v>3</v>
      </c>
      <c r="G141" s="14" t="s">
        <v>376</v>
      </c>
      <c r="H141" s="5" t="s">
        <v>5</v>
      </c>
      <c r="I141" s="10" t="s">
        <v>6</v>
      </c>
      <c r="J141" s="3" t="s">
        <v>37</v>
      </c>
      <c r="K141" s="5">
        <v>1000</v>
      </c>
      <c r="L141" s="6"/>
      <c r="M141" s="86">
        <v>8287930775</v>
      </c>
      <c r="N141" s="5">
        <v>99</v>
      </c>
      <c r="O141" s="6">
        <f t="shared" si="5"/>
        <v>99</v>
      </c>
      <c r="P141" s="7">
        <f t="shared" si="4"/>
        <v>-901</v>
      </c>
      <c r="Q141" s="78"/>
      <c r="R141" s="79"/>
      <c r="S141" s="79"/>
    </row>
    <row r="142" spans="1:19" ht="24" x14ac:dyDescent="0.25">
      <c r="A142" s="4">
        <v>140</v>
      </c>
      <c r="B142" s="5">
        <v>6318</v>
      </c>
      <c r="C142" s="3" t="s">
        <v>166</v>
      </c>
      <c r="D142" s="5"/>
      <c r="E142" s="3" t="s">
        <v>404</v>
      </c>
      <c r="F142" s="5" t="s">
        <v>3</v>
      </c>
      <c r="G142" s="14" t="s">
        <v>376</v>
      </c>
      <c r="H142" s="5" t="s">
        <v>5</v>
      </c>
      <c r="I142" s="3" t="s">
        <v>6</v>
      </c>
      <c r="J142" s="3" t="s">
        <v>37</v>
      </c>
      <c r="K142" s="5">
        <v>1000</v>
      </c>
      <c r="L142" s="6"/>
      <c r="M142" s="86">
        <v>8287930776</v>
      </c>
      <c r="N142" s="5">
        <v>99</v>
      </c>
      <c r="O142" s="6">
        <f t="shared" si="5"/>
        <v>99</v>
      </c>
      <c r="P142" s="7">
        <f t="shared" si="4"/>
        <v>-901</v>
      </c>
      <c r="Q142" s="78"/>
      <c r="R142" s="79"/>
      <c r="S142" s="79"/>
    </row>
    <row r="143" spans="1:19" ht="24" x14ac:dyDescent="0.25">
      <c r="A143" s="4">
        <v>141</v>
      </c>
      <c r="B143" s="14">
        <v>5904</v>
      </c>
      <c r="C143" s="16" t="s">
        <v>167</v>
      </c>
      <c r="D143" s="14"/>
      <c r="E143" s="3" t="s">
        <v>404</v>
      </c>
      <c r="F143" s="5" t="s">
        <v>3</v>
      </c>
      <c r="G143" s="14" t="s">
        <v>376</v>
      </c>
      <c r="H143" s="5" t="s">
        <v>5</v>
      </c>
      <c r="I143" s="10" t="s">
        <v>6</v>
      </c>
      <c r="J143" s="3" t="s">
        <v>37</v>
      </c>
      <c r="K143" s="5">
        <v>1000</v>
      </c>
      <c r="L143" s="6"/>
      <c r="M143" s="86">
        <v>8287930778</v>
      </c>
      <c r="N143" s="5">
        <v>99</v>
      </c>
      <c r="O143" s="6">
        <f t="shared" si="5"/>
        <v>99</v>
      </c>
      <c r="P143" s="7">
        <f t="shared" si="4"/>
        <v>-901</v>
      </c>
      <c r="Q143" s="78"/>
      <c r="R143" s="79"/>
      <c r="S143" s="79"/>
    </row>
    <row r="144" spans="1:19" ht="24" x14ac:dyDescent="0.25">
      <c r="A144" s="4">
        <v>142</v>
      </c>
      <c r="B144" s="23">
        <v>5858</v>
      </c>
      <c r="C144" s="15" t="s">
        <v>168</v>
      </c>
      <c r="D144" s="14"/>
      <c r="E144" s="3" t="s">
        <v>404</v>
      </c>
      <c r="F144" s="5" t="s">
        <v>3</v>
      </c>
      <c r="G144" s="14" t="s">
        <v>376</v>
      </c>
      <c r="H144" s="5" t="s">
        <v>5</v>
      </c>
      <c r="I144" s="10" t="s">
        <v>6</v>
      </c>
      <c r="J144" s="3" t="s">
        <v>37</v>
      </c>
      <c r="K144" s="5">
        <v>1000</v>
      </c>
      <c r="L144" s="6"/>
      <c r="M144" s="125">
        <v>8287930779</v>
      </c>
      <c r="N144" s="5">
        <v>99</v>
      </c>
      <c r="O144" s="6">
        <f t="shared" si="5"/>
        <v>99</v>
      </c>
      <c r="P144" s="7">
        <f t="shared" si="4"/>
        <v>-901</v>
      </c>
      <c r="Q144" s="78"/>
      <c r="R144" s="79"/>
      <c r="S144" s="79"/>
    </row>
    <row r="145" spans="1:19" ht="24" x14ac:dyDescent="0.25">
      <c r="A145" s="4">
        <v>143</v>
      </c>
      <c r="B145" s="23">
        <v>5581</v>
      </c>
      <c r="C145" s="15" t="s">
        <v>169</v>
      </c>
      <c r="D145" s="14"/>
      <c r="E145" s="3" t="s">
        <v>404</v>
      </c>
      <c r="F145" s="5" t="s">
        <v>3</v>
      </c>
      <c r="G145" s="14" t="s">
        <v>376</v>
      </c>
      <c r="H145" s="5" t="s">
        <v>5</v>
      </c>
      <c r="I145" s="10" t="s">
        <v>6</v>
      </c>
      <c r="J145" s="3" t="s">
        <v>37</v>
      </c>
      <c r="K145" s="5">
        <v>1000</v>
      </c>
      <c r="L145" s="6"/>
      <c r="M145" s="86">
        <v>8287930780</v>
      </c>
      <c r="N145" s="5">
        <v>99</v>
      </c>
      <c r="O145" s="6">
        <f t="shared" si="5"/>
        <v>99</v>
      </c>
      <c r="P145" s="7">
        <f t="shared" si="4"/>
        <v>-901</v>
      </c>
      <c r="Q145" s="78"/>
      <c r="R145" s="79"/>
      <c r="S145" s="79"/>
    </row>
    <row r="146" spans="1:19" ht="24" x14ac:dyDescent="0.25">
      <c r="A146" s="4">
        <v>144</v>
      </c>
      <c r="B146" s="23">
        <v>5502</v>
      </c>
      <c r="C146" s="15" t="s">
        <v>170</v>
      </c>
      <c r="D146" s="14"/>
      <c r="E146" s="3" t="s">
        <v>404</v>
      </c>
      <c r="F146" s="5" t="s">
        <v>3</v>
      </c>
      <c r="G146" s="14" t="s">
        <v>376</v>
      </c>
      <c r="H146" s="5" t="s">
        <v>5</v>
      </c>
      <c r="I146" s="10" t="s">
        <v>6</v>
      </c>
      <c r="J146" s="3" t="s">
        <v>37</v>
      </c>
      <c r="K146" s="5">
        <v>1000</v>
      </c>
      <c r="L146" s="6"/>
      <c r="M146" s="86">
        <v>8287930781</v>
      </c>
      <c r="N146" s="5">
        <v>99</v>
      </c>
      <c r="O146" s="6">
        <f t="shared" si="5"/>
        <v>99</v>
      </c>
      <c r="P146" s="7">
        <f t="shared" si="4"/>
        <v>-901</v>
      </c>
      <c r="Q146" s="78"/>
      <c r="R146" s="79"/>
      <c r="S146" s="79"/>
    </row>
    <row r="147" spans="1:19" ht="24" x14ac:dyDescent="0.25">
      <c r="A147" s="4">
        <v>145</v>
      </c>
      <c r="B147" s="14">
        <v>5548</v>
      </c>
      <c r="C147" s="16" t="s">
        <v>171</v>
      </c>
      <c r="D147" s="14"/>
      <c r="E147" s="3" t="s">
        <v>404</v>
      </c>
      <c r="F147" s="5" t="s">
        <v>3</v>
      </c>
      <c r="G147" s="14" t="s">
        <v>376</v>
      </c>
      <c r="H147" s="5" t="s">
        <v>5</v>
      </c>
      <c r="I147" s="10" t="s">
        <v>6</v>
      </c>
      <c r="J147" s="3" t="s">
        <v>37</v>
      </c>
      <c r="K147" s="5">
        <v>1000</v>
      </c>
      <c r="L147" s="6"/>
      <c r="M147" s="86">
        <v>8287930782</v>
      </c>
      <c r="N147" s="5">
        <v>99</v>
      </c>
      <c r="O147" s="6">
        <f t="shared" si="5"/>
        <v>99</v>
      </c>
      <c r="P147" s="7">
        <f t="shared" si="4"/>
        <v>-901</v>
      </c>
      <c r="Q147" s="78"/>
      <c r="R147" s="79"/>
      <c r="S147" s="79"/>
    </row>
    <row r="148" spans="1:19" ht="24" x14ac:dyDescent="0.25">
      <c r="A148" s="4">
        <v>146</v>
      </c>
      <c r="B148" s="14">
        <v>6012</v>
      </c>
      <c r="C148" s="16" t="s">
        <v>172</v>
      </c>
      <c r="D148" s="14"/>
      <c r="E148" s="3" t="s">
        <v>404</v>
      </c>
      <c r="F148" s="5" t="s">
        <v>3</v>
      </c>
      <c r="G148" s="14" t="s">
        <v>134</v>
      </c>
      <c r="H148" s="5" t="s">
        <v>5</v>
      </c>
      <c r="I148" s="10" t="s">
        <v>6</v>
      </c>
      <c r="J148" s="3" t="s">
        <v>37</v>
      </c>
      <c r="K148" s="5">
        <v>500</v>
      </c>
      <c r="L148" s="6"/>
      <c r="M148" s="86">
        <v>8287930783</v>
      </c>
      <c r="N148" s="5">
        <v>67</v>
      </c>
      <c r="O148" s="6">
        <f t="shared" si="5"/>
        <v>67</v>
      </c>
      <c r="P148" s="7">
        <f t="shared" si="4"/>
        <v>-433</v>
      </c>
      <c r="Q148" s="78"/>
      <c r="R148" s="79"/>
      <c r="S148" s="79"/>
    </row>
    <row r="149" spans="1:19" ht="24" x14ac:dyDescent="0.25">
      <c r="A149" s="4">
        <v>147</v>
      </c>
      <c r="B149" s="14">
        <v>5426</v>
      </c>
      <c r="C149" s="16" t="s">
        <v>69</v>
      </c>
      <c r="D149" s="14"/>
      <c r="E149" s="3" t="s">
        <v>404</v>
      </c>
      <c r="F149" s="5" t="s">
        <v>3</v>
      </c>
      <c r="G149" s="14" t="s">
        <v>376</v>
      </c>
      <c r="H149" s="5" t="s">
        <v>5</v>
      </c>
      <c r="I149" s="10" t="s">
        <v>6</v>
      </c>
      <c r="J149" s="3" t="s">
        <v>37</v>
      </c>
      <c r="K149" s="5">
        <v>500</v>
      </c>
      <c r="L149" s="6"/>
      <c r="M149" s="86">
        <v>8287930784</v>
      </c>
      <c r="N149" s="5">
        <v>99</v>
      </c>
      <c r="O149" s="6">
        <f t="shared" si="5"/>
        <v>99</v>
      </c>
      <c r="P149" s="7">
        <f t="shared" si="4"/>
        <v>-401</v>
      </c>
      <c r="Q149" s="78"/>
      <c r="R149" s="79"/>
      <c r="S149" s="79"/>
    </row>
    <row r="150" spans="1:19" ht="24" x14ac:dyDescent="0.25">
      <c r="A150" s="4">
        <v>148</v>
      </c>
      <c r="B150" s="14">
        <v>5523</v>
      </c>
      <c r="C150" s="16" t="s">
        <v>173</v>
      </c>
      <c r="D150" s="14"/>
      <c r="E150" s="3" t="s">
        <v>404</v>
      </c>
      <c r="F150" s="5" t="s">
        <v>3</v>
      </c>
      <c r="G150" s="14" t="s">
        <v>376</v>
      </c>
      <c r="H150" s="5" t="s">
        <v>5</v>
      </c>
      <c r="I150" s="10" t="s">
        <v>6</v>
      </c>
      <c r="J150" s="3" t="s">
        <v>37</v>
      </c>
      <c r="K150" s="5">
        <v>500</v>
      </c>
      <c r="L150" s="6"/>
      <c r="M150" s="86">
        <v>8287930785</v>
      </c>
      <c r="N150" s="5">
        <v>99</v>
      </c>
      <c r="O150" s="6">
        <f t="shared" si="5"/>
        <v>99</v>
      </c>
      <c r="P150" s="7">
        <f t="shared" si="4"/>
        <v>-401</v>
      </c>
      <c r="Q150" s="78"/>
      <c r="R150" s="79"/>
      <c r="S150" s="79"/>
    </row>
    <row r="151" spans="1:19" x14ac:dyDescent="0.25">
      <c r="A151" s="4">
        <v>149</v>
      </c>
      <c r="B151" s="3">
        <v>5389</v>
      </c>
      <c r="C151" s="3" t="s">
        <v>174</v>
      </c>
      <c r="D151" s="3"/>
      <c r="E151" s="3" t="s">
        <v>15</v>
      </c>
      <c r="F151" s="3" t="s">
        <v>3</v>
      </c>
      <c r="G151" s="3" t="s">
        <v>16</v>
      </c>
      <c r="H151" s="5" t="s">
        <v>5</v>
      </c>
      <c r="I151" s="3" t="s">
        <v>120</v>
      </c>
      <c r="J151" s="3" t="s">
        <v>82</v>
      </c>
      <c r="K151" s="5">
        <v>500</v>
      </c>
      <c r="L151" s="6"/>
      <c r="M151" s="124">
        <v>8287930787</v>
      </c>
      <c r="N151" s="5">
        <v>67</v>
      </c>
      <c r="O151" s="6">
        <f t="shared" si="5"/>
        <v>67</v>
      </c>
      <c r="P151" s="7">
        <f t="shared" si="4"/>
        <v>-433</v>
      </c>
      <c r="Q151" s="78"/>
      <c r="R151" s="79"/>
      <c r="S151" s="79"/>
    </row>
    <row r="152" spans="1:19" ht="24" x14ac:dyDescent="0.25">
      <c r="A152" s="4">
        <v>150</v>
      </c>
      <c r="B152" s="5" t="s">
        <v>391</v>
      </c>
      <c r="C152" s="3" t="s">
        <v>392</v>
      </c>
      <c r="D152" s="5"/>
      <c r="E152" s="3" t="s">
        <v>389</v>
      </c>
      <c r="F152" s="5" t="s">
        <v>3</v>
      </c>
      <c r="G152" s="5" t="s">
        <v>393</v>
      </c>
      <c r="H152" s="5" t="s">
        <v>5</v>
      </c>
      <c r="I152" s="3" t="s">
        <v>6</v>
      </c>
      <c r="J152" s="3" t="s">
        <v>37</v>
      </c>
      <c r="K152" s="5">
        <v>500</v>
      </c>
      <c r="L152" s="6"/>
      <c r="M152" s="86">
        <v>8287930788</v>
      </c>
      <c r="N152" s="5">
        <v>67</v>
      </c>
      <c r="O152" s="6">
        <f t="shared" si="5"/>
        <v>67</v>
      </c>
      <c r="P152" s="7">
        <f t="shared" si="4"/>
        <v>-433</v>
      </c>
      <c r="Q152" s="78"/>
      <c r="R152" s="79"/>
      <c r="S152" s="79"/>
    </row>
    <row r="153" spans="1:19" ht="24" x14ac:dyDescent="0.25">
      <c r="A153" s="4">
        <v>151</v>
      </c>
      <c r="B153" s="24">
        <v>5527</v>
      </c>
      <c r="C153" s="2" t="s">
        <v>175</v>
      </c>
      <c r="D153" s="20"/>
      <c r="E153" s="3" t="s">
        <v>404</v>
      </c>
      <c r="F153" s="5" t="s">
        <v>3</v>
      </c>
      <c r="G153" s="20" t="s">
        <v>376</v>
      </c>
      <c r="H153" s="9" t="s">
        <v>5</v>
      </c>
      <c r="I153" s="10" t="s">
        <v>6</v>
      </c>
      <c r="J153" s="3" t="s">
        <v>37</v>
      </c>
      <c r="K153" s="5">
        <v>500</v>
      </c>
      <c r="L153" s="6"/>
      <c r="M153" s="86">
        <v>8287930789</v>
      </c>
      <c r="N153" s="5">
        <v>99</v>
      </c>
      <c r="O153" s="6">
        <f t="shared" si="5"/>
        <v>99</v>
      </c>
      <c r="P153" s="7">
        <f t="shared" si="4"/>
        <v>-401</v>
      </c>
      <c r="Q153" s="78"/>
      <c r="R153" s="79"/>
      <c r="S153" s="79"/>
    </row>
    <row r="154" spans="1:19" ht="24" x14ac:dyDescent="0.25">
      <c r="A154" s="4">
        <v>152</v>
      </c>
      <c r="B154" s="5">
        <v>6222</v>
      </c>
      <c r="C154" s="3" t="s">
        <v>176</v>
      </c>
      <c r="D154" s="5"/>
      <c r="E154" s="3" t="s">
        <v>404</v>
      </c>
      <c r="F154" s="5" t="s">
        <v>3</v>
      </c>
      <c r="G154" s="14" t="s">
        <v>376</v>
      </c>
      <c r="H154" s="5" t="s">
        <v>5</v>
      </c>
      <c r="I154" s="3" t="s">
        <v>6</v>
      </c>
      <c r="J154" s="3" t="s">
        <v>37</v>
      </c>
      <c r="K154" s="5">
        <v>500</v>
      </c>
      <c r="L154" s="6"/>
      <c r="M154" s="86">
        <v>8287930790</v>
      </c>
      <c r="N154" s="5">
        <v>99</v>
      </c>
      <c r="O154" s="6">
        <f t="shared" si="5"/>
        <v>99</v>
      </c>
      <c r="P154" s="7">
        <f t="shared" si="4"/>
        <v>-401</v>
      </c>
      <c r="Q154" s="78"/>
      <c r="R154" s="79"/>
      <c r="S154" s="79"/>
    </row>
    <row r="155" spans="1:19" ht="24" x14ac:dyDescent="0.25">
      <c r="A155" s="4">
        <v>153</v>
      </c>
      <c r="B155" s="5">
        <v>6023</v>
      </c>
      <c r="C155" s="3" t="s">
        <v>177</v>
      </c>
      <c r="D155" s="5"/>
      <c r="E155" s="3" t="s">
        <v>178</v>
      </c>
      <c r="F155" s="5" t="s">
        <v>3</v>
      </c>
      <c r="G155" s="5" t="s">
        <v>376</v>
      </c>
      <c r="H155" s="5" t="s">
        <v>5</v>
      </c>
      <c r="I155" s="3" t="s">
        <v>6</v>
      </c>
      <c r="J155" s="3" t="s">
        <v>407</v>
      </c>
      <c r="K155" s="5">
        <v>500</v>
      </c>
      <c r="L155" s="6"/>
      <c r="M155" s="86">
        <v>8287930791</v>
      </c>
      <c r="N155" s="5">
        <v>99</v>
      </c>
      <c r="O155" s="6">
        <f t="shared" si="5"/>
        <v>99</v>
      </c>
      <c r="P155" s="7">
        <f t="shared" si="4"/>
        <v>-401</v>
      </c>
      <c r="Q155" s="78"/>
      <c r="R155" s="79"/>
      <c r="S155" s="79"/>
    </row>
    <row r="156" spans="1:19" ht="24" x14ac:dyDescent="0.25">
      <c r="A156" s="4">
        <v>154</v>
      </c>
      <c r="B156" s="23">
        <v>6002</v>
      </c>
      <c r="C156" s="15" t="s">
        <v>180</v>
      </c>
      <c r="D156" s="14"/>
      <c r="E156" s="3" t="s">
        <v>152</v>
      </c>
      <c r="F156" s="5" t="s">
        <v>3</v>
      </c>
      <c r="G156" s="14" t="s">
        <v>134</v>
      </c>
      <c r="H156" s="5" t="s">
        <v>5</v>
      </c>
      <c r="I156" s="10" t="s">
        <v>6</v>
      </c>
      <c r="J156" s="3" t="s">
        <v>37</v>
      </c>
      <c r="K156" s="5">
        <v>500</v>
      </c>
      <c r="L156" s="6"/>
      <c r="M156" s="86">
        <v>8287930792</v>
      </c>
      <c r="N156" s="5">
        <v>67</v>
      </c>
      <c r="O156" s="6">
        <f t="shared" si="5"/>
        <v>67</v>
      </c>
      <c r="P156" s="7">
        <f t="shared" si="4"/>
        <v>-433</v>
      </c>
      <c r="Q156" s="78"/>
      <c r="R156" s="79"/>
      <c r="S156" s="79"/>
    </row>
    <row r="157" spans="1:19" x14ac:dyDescent="0.25">
      <c r="A157" s="4">
        <v>155</v>
      </c>
      <c r="B157" s="5">
        <v>4212</v>
      </c>
      <c r="C157" s="10" t="s">
        <v>181</v>
      </c>
      <c r="D157" s="5"/>
      <c r="E157" s="3" t="s">
        <v>92</v>
      </c>
      <c r="F157" s="5" t="s">
        <v>3</v>
      </c>
      <c r="G157" s="5" t="s">
        <v>179</v>
      </c>
      <c r="H157" s="9" t="s">
        <v>5</v>
      </c>
      <c r="I157" s="10" t="s">
        <v>6</v>
      </c>
      <c r="J157" s="3" t="s">
        <v>123</v>
      </c>
      <c r="K157" s="5">
        <v>500</v>
      </c>
      <c r="L157" s="6"/>
      <c r="M157" s="86">
        <v>8287930795</v>
      </c>
      <c r="N157" s="5">
        <v>67</v>
      </c>
      <c r="O157" s="6">
        <f t="shared" si="5"/>
        <v>67</v>
      </c>
      <c r="P157" s="7">
        <f t="shared" si="4"/>
        <v>-433</v>
      </c>
      <c r="Q157" s="78"/>
      <c r="R157" s="79"/>
      <c r="S157" s="79"/>
    </row>
    <row r="158" spans="1:19" x14ac:dyDescent="0.25">
      <c r="A158" s="4">
        <v>156</v>
      </c>
      <c r="B158" s="14">
        <v>5425</v>
      </c>
      <c r="C158" s="16" t="s">
        <v>182</v>
      </c>
      <c r="D158" s="14"/>
      <c r="E158" s="3" t="s">
        <v>92</v>
      </c>
      <c r="F158" s="5" t="s">
        <v>3</v>
      </c>
      <c r="G158" s="14" t="s">
        <v>111</v>
      </c>
      <c r="H158" s="9" t="s">
        <v>5</v>
      </c>
      <c r="I158" s="10" t="s">
        <v>6</v>
      </c>
      <c r="J158" s="17" t="s">
        <v>24</v>
      </c>
      <c r="K158" s="5">
        <v>500</v>
      </c>
      <c r="L158" s="12"/>
      <c r="M158" s="126">
        <v>8287930796</v>
      </c>
      <c r="N158" s="5">
        <v>67</v>
      </c>
      <c r="O158" s="6">
        <f t="shared" si="5"/>
        <v>67</v>
      </c>
      <c r="P158" s="7">
        <f t="shared" si="4"/>
        <v>-433</v>
      </c>
      <c r="Q158" s="78"/>
      <c r="R158" s="79"/>
      <c r="S158" s="79"/>
    </row>
    <row r="159" spans="1:19" s="84" customFormat="1" ht="24" x14ac:dyDescent="0.25">
      <c r="A159" s="4">
        <v>157</v>
      </c>
      <c r="B159" s="25">
        <v>5545</v>
      </c>
      <c r="C159" s="26" t="s">
        <v>183</v>
      </c>
      <c r="D159" s="20"/>
      <c r="E159" s="26" t="s">
        <v>92</v>
      </c>
      <c r="F159" s="5" t="s">
        <v>3</v>
      </c>
      <c r="G159" s="20" t="s">
        <v>184</v>
      </c>
      <c r="H159" s="9" t="s">
        <v>5</v>
      </c>
      <c r="I159" s="10" t="s">
        <v>6</v>
      </c>
      <c r="J159" s="3" t="s">
        <v>37</v>
      </c>
      <c r="K159" s="5">
        <v>500</v>
      </c>
      <c r="L159" s="6"/>
      <c r="M159" s="124">
        <v>8595924184</v>
      </c>
      <c r="N159" s="5">
        <v>67</v>
      </c>
      <c r="O159" s="6">
        <f t="shared" si="5"/>
        <v>67</v>
      </c>
      <c r="P159" s="7">
        <f t="shared" si="4"/>
        <v>-433</v>
      </c>
      <c r="Q159" s="116"/>
      <c r="R159" s="87"/>
      <c r="S159" s="87"/>
    </row>
    <row r="160" spans="1:19" s="84" customFormat="1" ht="24" x14ac:dyDescent="0.25">
      <c r="A160" s="4">
        <v>158</v>
      </c>
      <c r="B160" s="25">
        <v>5500</v>
      </c>
      <c r="C160" s="26" t="s">
        <v>185</v>
      </c>
      <c r="D160" s="20"/>
      <c r="E160" s="26" t="s">
        <v>162</v>
      </c>
      <c r="F160" s="5" t="s">
        <v>3</v>
      </c>
      <c r="G160" s="20" t="s">
        <v>186</v>
      </c>
      <c r="H160" s="9" t="s">
        <v>5</v>
      </c>
      <c r="I160" s="10" t="s">
        <v>6</v>
      </c>
      <c r="J160" s="3" t="s">
        <v>37</v>
      </c>
      <c r="K160" s="5">
        <v>500</v>
      </c>
      <c r="L160" s="6"/>
      <c r="M160" s="124">
        <v>8595924185</v>
      </c>
      <c r="N160" s="5">
        <v>67</v>
      </c>
      <c r="O160" s="6">
        <f t="shared" si="5"/>
        <v>67</v>
      </c>
      <c r="P160" s="7">
        <f t="shared" si="4"/>
        <v>-433</v>
      </c>
      <c r="Q160" s="116"/>
      <c r="R160" s="87"/>
      <c r="S160" s="87"/>
    </row>
    <row r="161" spans="1:19" s="84" customFormat="1" ht="24" x14ac:dyDescent="0.25">
      <c r="A161" s="4">
        <v>159</v>
      </c>
      <c r="B161" s="25">
        <v>5542</v>
      </c>
      <c r="C161" s="26" t="s">
        <v>187</v>
      </c>
      <c r="D161" s="20"/>
      <c r="E161" s="26" t="s">
        <v>162</v>
      </c>
      <c r="F161" s="5" t="s">
        <v>3</v>
      </c>
      <c r="G161" s="20" t="s">
        <v>186</v>
      </c>
      <c r="H161" s="9" t="s">
        <v>5</v>
      </c>
      <c r="I161" s="10" t="s">
        <v>6</v>
      </c>
      <c r="J161" s="3" t="s">
        <v>37</v>
      </c>
      <c r="K161" s="5">
        <v>500</v>
      </c>
      <c r="L161" s="6"/>
      <c r="M161" s="124">
        <v>8595924186</v>
      </c>
      <c r="N161" s="5">
        <v>67</v>
      </c>
      <c r="O161" s="6">
        <f t="shared" si="5"/>
        <v>67</v>
      </c>
      <c r="P161" s="7">
        <f t="shared" si="4"/>
        <v>-433</v>
      </c>
      <c r="Q161" s="116"/>
      <c r="R161" s="87"/>
      <c r="S161" s="87"/>
    </row>
    <row r="162" spans="1:19" ht="24" x14ac:dyDescent="0.25">
      <c r="A162" s="4">
        <v>160</v>
      </c>
      <c r="B162" s="25">
        <v>5520</v>
      </c>
      <c r="C162" s="26" t="s">
        <v>188</v>
      </c>
      <c r="D162" s="20"/>
      <c r="E162" s="26" t="s">
        <v>162</v>
      </c>
      <c r="F162" s="5" t="s">
        <v>3</v>
      </c>
      <c r="G162" s="20" t="s">
        <v>376</v>
      </c>
      <c r="H162" s="9" t="s">
        <v>5</v>
      </c>
      <c r="I162" s="10" t="s">
        <v>6</v>
      </c>
      <c r="J162" s="3" t="s">
        <v>37</v>
      </c>
      <c r="K162" s="5">
        <v>1000</v>
      </c>
      <c r="L162" s="6"/>
      <c r="M162" s="124">
        <v>8595924187</v>
      </c>
      <c r="N162" s="5">
        <v>99</v>
      </c>
      <c r="O162" s="6">
        <v>99</v>
      </c>
      <c r="P162" s="7">
        <f t="shared" si="4"/>
        <v>-901</v>
      </c>
      <c r="Q162" s="78"/>
      <c r="R162" s="79"/>
      <c r="S162" s="79"/>
    </row>
    <row r="163" spans="1:19" ht="24" x14ac:dyDescent="0.25">
      <c r="A163" s="4">
        <v>161</v>
      </c>
      <c r="B163" s="25">
        <v>5505</v>
      </c>
      <c r="C163" s="26" t="s">
        <v>189</v>
      </c>
      <c r="D163" s="20"/>
      <c r="E163" s="26" t="s">
        <v>92</v>
      </c>
      <c r="F163" s="5" t="s">
        <v>3</v>
      </c>
      <c r="G163" s="20" t="s">
        <v>184</v>
      </c>
      <c r="H163" s="9" t="s">
        <v>5</v>
      </c>
      <c r="I163" s="10" t="s">
        <v>6</v>
      </c>
      <c r="J163" s="3" t="s">
        <v>37</v>
      </c>
      <c r="K163" s="5">
        <v>500</v>
      </c>
      <c r="L163" s="6"/>
      <c r="M163" s="124">
        <v>8595924188</v>
      </c>
      <c r="N163" s="5">
        <v>67</v>
      </c>
      <c r="O163" s="6">
        <v>67</v>
      </c>
      <c r="P163" s="7">
        <f t="shared" si="4"/>
        <v>-433</v>
      </c>
      <c r="Q163" s="78"/>
      <c r="R163" s="79"/>
      <c r="S163" s="79"/>
    </row>
    <row r="164" spans="1:19" ht="24" x14ac:dyDescent="0.25">
      <c r="A164" s="4">
        <v>162</v>
      </c>
      <c r="B164" s="25">
        <v>5325</v>
      </c>
      <c r="C164" s="26" t="s">
        <v>190</v>
      </c>
      <c r="D164" s="20"/>
      <c r="E164" s="26" t="s">
        <v>92</v>
      </c>
      <c r="F164" s="5" t="s">
        <v>3</v>
      </c>
      <c r="G164" s="20" t="s">
        <v>184</v>
      </c>
      <c r="H164" s="9" t="s">
        <v>5</v>
      </c>
      <c r="I164" s="10" t="s">
        <v>6</v>
      </c>
      <c r="J164" s="3" t="s">
        <v>37</v>
      </c>
      <c r="K164" s="5">
        <v>500</v>
      </c>
      <c r="L164" s="6"/>
      <c r="M164" s="124">
        <v>8595924189</v>
      </c>
      <c r="N164" s="5">
        <v>67</v>
      </c>
      <c r="O164" s="6">
        <f t="shared" si="5"/>
        <v>67</v>
      </c>
      <c r="P164" s="7">
        <f t="shared" si="4"/>
        <v>-433</v>
      </c>
      <c r="Q164" s="78"/>
      <c r="R164" s="79"/>
      <c r="S164" s="79"/>
    </row>
    <row r="165" spans="1:19" ht="24" x14ac:dyDescent="0.25">
      <c r="A165" s="4">
        <v>163</v>
      </c>
      <c r="B165" s="25">
        <v>5522</v>
      </c>
      <c r="C165" s="26" t="s">
        <v>191</v>
      </c>
      <c r="D165" s="20"/>
      <c r="E165" s="26" t="s">
        <v>162</v>
      </c>
      <c r="F165" s="5" t="s">
        <v>3</v>
      </c>
      <c r="G165" s="14" t="s">
        <v>376</v>
      </c>
      <c r="H165" s="9" t="s">
        <v>5</v>
      </c>
      <c r="I165" s="10" t="s">
        <v>6</v>
      </c>
      <c r="J165" s="3" t="s">
        <v>37</v>
      </c>
      <c r="K165" s="5">
        <v>500</v>
      </c>
      <c r="L165" s="6"/>
      <c r="M165" s="124">
        <v>8595924190</v>
      </c>
      <c r="N165" s="5">
        <v>99</v>
      </c>
      <c r="O165" s="6">
        <f t="shared" si="5"/>
        <v>99</v>
      </c>
      <c r="P165" s="7">
        <f t="shared" si="4"/>
        <v>-401</v>
      </c>
      <c r="Q165" s="78"/>
      <c r="R165" s="79"/>
      <c r="S165" s="79"/>
    </row>
    <row r="166" spans="1:19" ht="24" x14ac:dyDescent="0.25">
      <c r="A166" s="4">
        <v>164</v>
      </c>
      <c r="B166" s="25">
        <v>5862</v>
      </c>
      <c r="C166" s="26" t="s">
        <v>192</v>
      </c>
      <c r="D166" s="20"/>
      <c r="E166" s="26" t="s">
        <v>92</v>
      </c>
      <c r="F166" s="5" t="s">
        <v>3</v>
      </c>
      <c r="G166" s="20" t="s">
        <v>184</v>
      </c>
      <c r="H166" s="9" t="s">
        <v>5</v>
      </c>
      <c r="I166" s="10" t="s">
        <v>6</v>
      </c>
      <c r="J166" s="3" t="s">
        <v>37</v>
      </c>
      <c r="K166" s="5">
        <v>500</v>
      </c>
      <c r="L166" s="6"/>
      <c r="M166" s="124">
        <v>8595924191</v>
      </c>
      <c r="N166" s="5">
        <v>67</v>
      </c>
      <c r="O166" s="6">
        <f t="shared" si="5"/>
        <v>67</v>
      </c>
      <c r="P166" s="7">
        <f t="shared" si="4"/>
        <v>-433</v>
      </c>
      <c r="Q166" s="78"/>
      <c r="R166" s="79"/>
      <c r="S166" s="79"/>
    </row>
    <row r="167" spans="1:19" ht="24" x14ac:dyDescent="0.25">
      <c r="A167" s="4">
        <v>165</v>
      </c>
      <c r="B167" s="25">
        <v>6500</v>
      </c>
      <c r="C167" s="26" t="s">
        <v>193</v>
      </c>
      <c r="D167" s="20"/>
      <c r="E167" s="26" t="s">
        <v>92</v>
      </c>
      <c r="F167" s="5" t="s">
        <v>3</v>
      </c>
      <c r="G167" s="20" t="s">
        <v>194</v>
      </c>
      <c r="H167" s="9" t="s">
        <v>5</v>
      </c>
      <c r="I167" s="10" t="s">
        <v>6</v>
      </c>
      <c r="J167" s="3" t="s">
        <v>37</v>
      </c>
      <c r="K167" s="5">
        <v>500</v>
      </c>
      <c r="L167" s="6"/>
      <c r="M167" s="124">
        <v>8595924192</v>
      </c>
      <c r="N167" s="5">
        <v>67</v>
      </c>
      <c r="O167" s="6">
        <f t="shared" si="5"/>
        <v>67</v>
      </c>
      <c r="P167" s="7">
        <f t="shared" si="4"/>
        <v>-433</v>
      </c>
      <c r="Q167" s="78"/>
      <c r="R167" s="79"/>
      <c r="S167" s="79"/>
    </row>
    <row r="168" spans="1:19" ht="24" x14ac:dyDescent="0.25">
      <c r="A168" s="4">
        <v>166</v>
      </c>
      <c r="B168" s="25">
        <v>5439</v>
      </c>
      <c r="C168" s="26" t="s">
        <v>195</v>
      </c>
      <c r="D168" s="20"/>
      <c r="E168" s="26" t="s">
        <v>162</v>
      </c>
      <c r="F168" s="5" t="s">
        <v>3</v>
      </c>
      <c r="G168" s="20" t="s">
        <v>186</v>
      </c>
      <c r="H168" s="9" t="s">
        <v>5</v>
      </c>
      <c r="I168" s="10" t="s">
        <v>6</v>
      </c>
      <c r="J168" s="3" t="s">
        <v>37</v>
      </c>
      <c r="K168" s="5">
        <v>500</v>
      </c>
      <c r="L168" s="6"/>
      <c r="M168" s="124">
        <v>8595924193</v>
      </c>
      <c r="N168" s="5">
        <v>67</v>
      </c>
      <c r="O168" s="6">
        <f t="shared" si="5"/>
        <v>67</v>
      </c>
      <c r="P168" s="7">
        <f t="shared" si="4"/>
        <v>-433</v>
      </c>
      <c r="Q168" s="78"/>
      <c r="R168" s="79"/>
      <c r="S168" s="79"/>
    </row>
    <row r="169" spans="1:19" ht="24" x14ac:dyDescent="0.25">
      <c r="A169" s="4">
        <v>167</v>
      </c>
      <c r="B169" s="25">
        <v>5569</v>
      </c>
      <c r="C169" s="26" t="s">
        <v>196</v>
      </c>
      <c r="D169" s="20"/>
      <c r="E169" s="3" t="s">
        <v>404</v>
      </c>
      <c r="F169" s="5" t="s">
        <v>3</v>
      </c>
      <c r="G169" s="14" t="s">
        <v>376</v>
      </c>
      <c r="H169" s="9" t="s">
        <v>5</v>
      </c>
      <c r="I169" s="10" t="s">
        <v>6</v>
      </c>
      <c r="J169" s="3" t="s">
        <v>37</v>
      </c>
      <c r="K169" s="5">
        <v>500</v>
      </c>
      <c r="L169" s="6"/>
      <c r="M169" s="124">
        <v>8595924194</v>
      </c>
      <c r="N169" s="5">
        <v>99</v>
      </c>
      <c r="O169" s="6">
        <f t="shared" si="5"/>
        <v>99</v>
      </c>
      <c r="P169" s="7">
        <f t="shared" si="4"/>
        <v>-401</v>
      </c>
      <c r="Q169" s="78"/>
      <c r="R169" s="79"/>
      <c r="S169" s="79"/>
    </row>
    <row r="170" spans="1:19" ht="24" x14ac:dyDescent="0.25">
      <c r="A170" s="4">
        <v>168</v>
      </c>
      <c r="B170" s="25">
        <v>5902</v>
      </c>
      <c r="C170" s="26" t="s">
        <v>36</v>
      </c>
      <c r="D170" s="20"/>
      <c r="E170" s="26" t="s">
        <v>92</v>
      </c>
      <c r="F170" s="5" t="s">
        <v>3</v>
      </c>
      <c r="G170" s="20" t="s">
        <v>184</v>
      </c>
      <c r="H170" s="9" t="s">
        <v>5</v>
      </c>
      <c r="I170" s="10" t="s">
        <v>6</v>
      </c>
      <c r="J170" s="3" t="s">
        <v>37</v>
      </c>
      <c r="K170" s="5">
        <v>500</v>
      </c>
      <c r="L170" s="6"/>
      <c r="M170" s="124">
        <v>8595924195</v>
      </c>
      <c r="N170" s="5">
        <v>0</v>
      </c>
      <c r="O170" s="6">
        <f t="shared" si="5"/>
        <v>0</v>
      </c>
      <c r="P170" s="7">
        <f t="shared" si="4"/>
        <v>-500</v>
      </c>
      <c r="Q170" s="78"/>
      <c r="R170" s="79"/>
      <c r="S170" s="79"/>
    </row>
    <row r="171" spans="1:19" ht="24" x14ac:dyDescent="0.25">
      <c r="A171" s="4">
        <v>169</v>
      </c>
      <c r="B171" s="25">
        <v>6229</v>
      </c>
      <c r="C171" s="26" t="s">
        <v>197</v>
      </c>
      <c r="D171" s="20"/>
      <c r="E171" s="26" t="s">
        <v>92</v>
      </c>
      <c r="F171" s="5" t="s">
        <v>3</v>
      </c>
      <c r="G171" s="20" t="s">
        <v>184</v>
      </c>
      <c r="H171" s="9" t="s">
        <v>5</v>
      </c>
      <c r="I171" s="10" t="s">
        <v>6</v>
      </c>
      <c r="J171" s="3" t="s">
        <v>37</v>
      </c>
      <c r="K171" s="5">
        <v>500</v>
      </c>
      <c r="L171" s="6"/>
      <c r="M171" s="124">
        <v>8595924196</v>
      </c>
      <c r="N171" s="5">
        <v>67</v>
      </c>
      <c r="O171" s="6">
        <f t="shared" si="5"/>
        <v>67</v>
      </c>
      <c r="P171" s="7">
        <f t="shared" si="4"/>
        <v>-433</v>
      </c>
      <c r="Q171" s="78"/>
      <c r="R171" s="79"/>
      <c r="S171" s="79"/>
    </row>
    <row r="172" spans="1:19" ht="24" x14ac:dyDescent="0.25">
      <c r="A172" s="4">
        <v>170</v>
      </c>
      <c r="B172" s="25">
        <v>5243</v>
      </c>
      <c r="C172" s="26" t="s">
        <v>198</v>
      </c>
      <c r="D172" s="20"/>
      <c r="E172" s="3" t="s">
        <v>404</v>
      </c>
      <c r="F172" s="5" t="s">
        <v>3</v>
      </c>
      <c r="G172" s="14" t="s">
        <v>376</v>
      </c>
      <c r="H172" s="9" t="s">
        <v>5</v>
      </c>
      <c r="I172" s="10" t="s">
        <v>6</v>
      </c>
      <c r="J172" s="3" t="s">
        <v>37</v>
      </c>
      <c r="K172" s="5">
        <v>500</v>
      </c>
      <c r="L172" s="6"/>
      <c r="M172" s="124">
        <v>8595924197</v>
      </c>
      <c r="N172" s="5">
        <v>99</v>
      </c>
      <c r="O172" s="6">
        <f t="shared" si="5"/>
        <v>99</v>
      </c>
      <c r="P172" s="7">
        <f t="shared" si="4"/>
        <v>-401</v>
      </c>
      <c r="Q172" s="78"/>
      <c r="R172" s="79"/>
      <c r="S172" s="79"/>
    </row>
    <row r="173" spans="1:19" ht="24" x14ac:dyDescent="0.25">
      <c r="A173" s="4">
        <v>171</v>
      </c>
      <c r="B173" s="25">
        <v>5495</v>
      </c>
      <c r="C173" s="26" t="s">
        <v>199</v>
      </c>
      <c r="D173" s="20"/>
      <c r="E173" s="3" t="s">
        <v>404</v>
      </c>
      <c r="F173" s="5" t="s">
        <v>3</v>
      </c>
      <c r="G173" s="14" t="s">
        <v>376</v>
      </c>
      <c r="H173" s="9" t="s">
        <v>5</v>
      </c>
      <c r="I173" s="10" t="s">
        <v>6</v>
      </c>
      <c r="J173" s="3" t="s">
        <v>37</v>
      </c>
      <c r="K173" s="5">
        <v>500</v>
      </c>
      <c r="L173" s="6"/>
      <c r="M173" s="124">
        <v>8595924198</v>
      </c>
      <c r="N173" s="5">
        <v>99</v>
      </c>
      <c r="O173" s="6">
        <f t="shared" si="5"/>
        <v>99</v>
      </c>
      <c r="P173" s="7">
        <f t="shared" si="4"/>
        <v>-401</v>
      </c>
      <c r="Q173" s="78"/>
      <c r="R173" s="79"/>
      <c r="S173" s="79"/>
    </row>
    <row r="174" spans="1:19" ht="24" x14ac:dyDescent="0.25">
      <c r="A174" s="4">
        <v>172</v>
      </c>
      <c r="B174" s="25">
        <v>5880</v>
      </c>
      <c r="C174" s="26" t="s">
        <v>200</v>
      </c>
      <c r="D174" s="20"/>
      <c r="E174" s="26" t="s">
        <v>92</v>
      </c>
      <c r="F174" s="5" t="s">
        <v>3</v>
      </c>
      <c r="G174" s="20" t="s">
        <v>184</v>
      </c>
      <c r="H174" s="9" t="s">
        <v>5</v>
      </c>
      <c r="I174" s="10" t="s">
        <v>6</v>
      </c>
      <c r="J174" s="3" t="s">
        <v>37</v>
      </c>
      <c r="K174" s="5">
        <v>500</v>
      </c>
      <c r="L174" s="6"/>
      <c r="M174" s="124">
        <v>8595924199</v>
      </c>
      <c r="N174" s="5">
        <v>67</v>
      </c>
      <c r="O174" s="6">
        <f t="shared" si="5"/>
        <v>67</v>
      </c>
      <c r="P174" s="7">
        <f t="shared" si="4"/>
        <v>-433</v>
      </c>
      <c r="Q174" s="78"/>
      <c r="R174" s="79"/>
      <c r="S174" s="79"/>
    </row>
    <row r="175" spans="1:19" ht="24" x14ac:dyDescent="0.25">
      <c r="A175" s="4">
        <v>173</v>
      </c>
      <c r="B175" s="14">
        <v>2476</v>
      </c>
      <c r="C175" s="16" t="s">
        <v>445</v>
      </c>
      <c r="D175" s="14"/>
      <c r="E175" s="3" t="s">
        <v>11</v>
      </c>
      <c r="F175" s="5" t="s">
        <v>3</v>
      </c>
      <c r="G175" s="20" t="s">
        <v>202</v>
      </c>
      <c r="H175" s="9" t="s">
        <v>5</v>
      </c>
      <c r="I175" s="10" t="s">
        <v>6</v>
      </c>
      <c r="J175" s="3" t="s">
        <v>37</v>
      </c>
      <c r="K175" s="5">
        <v>5000</v>
      </c>
      <c r="L175" s="6"/>
      <c r="M175" s="86">
        <v>8595924200</v>
      </c>
      <c r="N175" s="5">
        <v>125</v>
      </c>
      <c r="O175" s="6">
        <f t="shared" si="5"/>
        <v>125</v>
      </c>
      <c r="P175" s="7">
        <f t="shared" si="4"/>
        <v>-4875</v>
      </c>
      <c r="Q175" s="78"/>
      <c r="R175" s="79"/>
      <c r="S175" s="79"/>
    </row>
    <row r="176" spans="1:19" ht="24" x14ac:dyDescent="0.25">
      <c r="A176" s="4">
        <v>174</v>
      </c>
      <c r="B176" s="25">
        <v>6186</v>
      </c>
      <c r="C176" s="26" t="s">
        <v>494</v>
      </c>
      <c r="D176" s="20"/>
      <c r="E176" s="26" t="s">
        <v>162</v>
      </c>
      <c r="F176" s="5" t="s">
        <v>3</v>
      </c>
      <c r="G176" s="20" t="s">
        <v>376</v>
      </c>
      <c r="H176" s="9" t="s">
        <v>5</v>
      </c>
      <c r="I176" s="10" t="s">
        <v>6</v>
      </c>
      <c r="J176" s="3" t="s">
        <v>37</v>
      </c>
      <c r="K176" s="5">
        <v>500</v>
      </c>
      <c r="L176" s="6"/>
      <c r="M176" s="86">
        <v>8595924202</v>
      </c>
      <c r="N176" s="5">
        <v>67</v>
      </c>
      <c r="O176" s="6">
        <v>67</v>
      </c>
      <c r="P176" s="7">
        <f t="shared" si="4"/>
        <v>-433</v>
      </c>
      <c r="Q176" s="78"/>
      <c r="R176" s="79"/>
      <c r="S176" s="79"/>
    </row>
    <row r="177" spans="1:19" x14ac:dyDescent="0.25">
      <c r="A177" s="4">
        <v>175</v>
      </c>
      <c r="B177" s="92"/>
      <c r="C177" s="93" t="s">
        <v>413</v>
      </c>
      <c r="D177" s="92"/>
      <c r="E177" s="93"/>
      <c r="F177" s="92"/>
      <c r="G177" s="92"/>
      <c r="H177" s="92"/>
      <c r="I177" s="93"/>
      <c r="J177" s="93"/>
      <c r="K177" s="92"/>
      <c r="L177" s="94"/>
      <c r="M177" s="86">
        <v>8595924203</v>
      </c>
      <c r="N177" s="92">
        <v>0</v>
      </c>
      <c r="O177" s="94">
        <f t="shared" si="5"/>
        <v>0</v>
      </c>
      <c r="P177" s="95"/>
      <c r="Q177" s="78"/>
      <c r="R177" s="79"/>
      <c r="S177" s="79"/>
    </row>
    <row r="178" spans="1:19" x14ac:dyDescent="0.25">
      <c r="A178" s="4">
        <v>176</v>
      </c>
      <c r="B178" s="5">
        <v>4768</v>
      </c>
      <c r="C178" s="3" t="s">
        <v>203</v>
      </c>
      <c r="D178" s="5"/>
      <c r="E178" s="3" t="s">
        <v>21</v>
      </c>
      <c r="F178" s="5" t="s">
        <v>3</v>
      </c>
      <c r="G178" s="5" t="s">
        <v>4</v>
      </c>
      <c r="H178" s="9" t="s">
        <v>5</v>
      </c>
      <c r="I178" s="10" t="s">
        <v>6</v>
      </c>
      <c r="J178" s="3" t="s">
        <v>24</v>
      </c>
      <c r="K178" s="5">
        <v>4000</v>
      </c>
      <c r="L178" s="6"/>
      <c r="M178" s="86">
        <v>8595924204</v>
      </c>
      <c r="N178" s="5">
        <v>125</v>
      </c>
      <c r="O178" s="6">
        <f t="shared" si="5"/>
        <v>125</v>
      </c>
      <c r="P178" s="7">
        <f t="shared" si="4"/>
        <v>-3875</v>
      </c>
      <c r="Q178" s="78"/>
      <c r="R178" s="79"/>
      <c r="S178" s="79"/>
    </row>
    <row r="179" spans="1:19" ht="24" x14ac:dyDescent="0.25">
      <c r="A179" s="4">
        <v>177</v>
      </c>
      <c r="B179" s="5">
        <v>5304</v>
      </c>
      <c r="C179" s="3" t="s">
        <v>204</v>
      </c>
      <c r="D179" s="5"/>
      <c r="E179" s="3" t="s">
        <v>92</v>
      </c>
      <c r="F179" s="5" t="s">
        <v>3</v>
      </c>
      <c r="G179" s="5" t="s">
        <v>111</v>
      </c>
      <c r="H179" s="9" t="s">
        <v>5</v>
      </c>
      <c r="I179" s="10" t="s">
        <v>6</v>
      </c>
      <c r="J179" s="3" t="s">
        <v>37</v>
      </c>
      <c r="K179" s="5">
        <v>500</v>
      </c>
      <c r="L179" s="6"/>
      <c r="M179" s="86">
        <v>8595924205</v>
      </c>
      <c r="N179" s="5">
        <v>0</v>
      </c>
      <c r="O179" s="6">
        <f t="shared" si="5"/>
        <v>0</v>
      </c>
      <c r="P179" s="7">
        <f t="shared" si="4"/>
        <v>-500</v>
      </c>
      <c r="Q179" s="78"/>
      <c r="R179" s="79"/>
      <c r="S179" s="79"/>
    </row>
    <row r="180" spans="1:19" x14ac:dyDescent="0.25">
      <c r="A180" s="4">
        <v>178</v>
      </c>
      <c r="B180" s="5">
        <v>5294</v>
      </c>
      <c r="C180" s="3" t="s">
        <v>205</v>
      </c>
      <c r="D180" s="5"/>
      <c r="E180" s="3" t="s">
        <v>92</v>
      </c>
      <c r="F180" s="5" t="s">
        <v>3</v>
      </c>
      <c r="G180" s="5" t="s">
        <v>16</v>
      </c>
      <c r="H180" s="5" t="s">
        <v>3</v>
      </c>
      <c r="I180" s="5" t="s">
        <v>111</v>
      </c>
      <c r="J180" s="9" t="s">
        <v>5</v>
      </c>
      <c r="K180" s="10" t="s">
        <v>6</v>
      </c>
      <c r="L180" s="3"/>
      <c r="M180" s="86">
        <v>8595924207</v>
      </c>
      <c r="N180" s="5">
        <v>99</v>
      </c>
      <c r="O180" s="6">
        <f t="shared" si="5"/>
        <v>99</v>
      </c>
      <c r="P180" s="7"/>
      <c r="Q180" s="78"/>
      <c r="R180" s="79"/>
      <c r="S180" s="79"/>
    </row>
    <row r="181" spans="1:19" ht="24" x14ac:dyDescent="0.25">
      <c r="A181" s="4">
        <v>179</v>
      </c>
      <c r="B181" s="5">
        <v>5031</v>
      </c>
      <c r="C181" s="10" t="s">
        <v>206</v>
      </c>
      <c r="D181" s="5"/>
      <c r="E181" s="3" t="s">
        <v>44</v>
      </c>
      <c r="F181" s="9" t="s">
        <v>3</v>
      </c>
      <c r="G181" s="5" t="s">
        <v>385</v>
      </c>
      <c r="H181" s="9" t="s">
        <v>5</v>
      </c>
      <c r="I181" s="3" t="s">
        <v>6</v>
      </c>
      <c r="J181" s="3" t="s">
        <v>7</v>
      </c>
      <c r="K181" s="5">
        <v>1000</v>
      </c>
      <c r="L181" s="12"/>
      <c r="M181" s="86">
        <v>8595924208</v>
      </c>
      <c r="N181" s="5">
        <v>0</v>
      </c>
      <c r="O181" s="6">
        <f t="shared" si="5"/>
        <v>0</v>
      </c>
      <c r="P181" s="7">
        <f t="shared" si="4"/>
        <v>-1000</v>
      </c>
      <c r="Q181" s="78"/>
      <c r="R181" s="79"/>
      <c r="S181" s="79"/>
    </row>
    <row r="182" spans="1:19" ht="24" x14ac:dyDescent="0.25">
      <c r="A182" s="4">
        <v>180</v>
      </c>
      <c r="B182" s="5">
        <v>4866</v>
      </c>
      <c r="C182" s="3" t="s">
        <v>207</v>
      </c>
      <c r="D182" s="5"/>
      <c r="E182" s="3" t="s">
        <v>92</v>
      </c>
      <c r="F182" s="5" t="s">
        <v>3</v>
      </c>
      <c r="G182" s="5" t="s">
        <v>16</v>
      </c>
      <c r="H182" s="5" t="s">
        <v>5</v>
      </c>
      <c r="I182" s="3" t="s">
        <v>6</v>
      </c>
      <c r="J182" s="8" t="s">
        <v>37</v>
      </c>
      <c r="K182" s="5">
        <v>500</v>
      </c>
      <c r="L182" s="6"/>
      <c r="M182" s="86">
        <v>8595924209</v>
      </c>
      <c r="N182" s="5">
        <v>67</v>
      </c>
      <c r="O182" s="6">
        <f t="shared" si="5"/>
        <v>67</v>
      </c>
      <c r="P182" s="7">
        <f t="shared" si="4"/>
        <v>-433</v>
      </c>
      <c r="Q182" s="78"/>
      <c r="R182" s="79"/>
      <c r="S182" s="79"/>
    </row>
    <row r="183" spans="1:19" x14ac:dyDescent="0.25">
      <c r="A183" s="4">
        <v>181</v>
      </c>
      <c r="B183" s="11" t="s">
        <v>208</v>
      </c>
      <c r="C183" s="3" t="s">
        <v>209</v>
      </c>
      <c r="D183" s="5"/>
      <c r="E183" s="3" t="s">
        <v>71</v>
      </c>
      <c r="F183" s="5" t="s">
        <v>12</v>
      </c>
      <c r="G183" s="5" t="s">
        <v>100</v>
      </c>
      <c r="H183" s="5" t="s">
        <v>101</v>
      </c>
      <c r="I183" s="3" t="s">
        <v>6</v>
      </c>
      <c r="J183" s="3" t="s">
        <v>7</v>
      </c>
      <c r="K183" s="5">
        <v>500</v>
      </c>
      <c r="L183" s="6"/>
      <c r="M183" s="86">
        <v>8595924210</v>
      </c>
      <c r="N183" s="5">
        <v>67</v>
      </c>
      <c r="O183" s="6">
        <f t="shared" si="5"/>
        <v>67</v>
      </c>
      <c r="P183" s="7">
        <f t="shared" si="4"/>
        <v>-433</v>
      </c>
      <c r="Q183" s="78"/>
      <c r="R183" s="79"/>
      <c r="S183" s="79"/>
    </row>
    <row r="184" spans="1:19" x14ac:dyDescent="0.25">
      <c r="A184" s="4">
        <v>182</v>
      </c>
      <c r="B184" s="11" t="s">
        <v>210</v>
      </c>
      <c r="C184" s="3" t="s">
        <v>211</v>
      </c>
      <c r="D184" s="5"/>
      <c r="E184" s="3" t="s">
        <v>71</v>
      </c>
      <c r="F184" s="5" t="s">
        <v>12</v>
      </c>
      <c r="G184" s="9" t="s">
        <v>100</v>
      </c>
      <c r="H184" s="9" t="s">
        <v>101</v>
      </c>
      <c r="I184" s="10" t="s">
        <v>6</v>
      </c>
      <c r="J184" s="10" t="s">
        <v>7</v>
      </c>
      <c r="K184" s="5">
        <v>500</v>
      </c>
      <c r="L184" s="6"/>
      <c r="M184" s="86">
        <v>8595924211</v>
      </c>
      <c r="N184" s="5">
        <v>67</v>
      </c>
      <c r="O184" s="6">
        <f t="shared" si="5"/>
        <v>67</v>
      </c>
      <c r="P184" s="7">
        <f t="shared" si="4"/>
        <v>-433</v>
      </c>
      <c r="Q184" s="78"/>
      <c r="R184" s="79"/>
      <c r="S184" s="79"/>
    </row>
    <row r="185" spans="1:19" x14ac:dyDescent="0.25">
      <c r="A185" s="4">
        <v>183</v>
      </c>
      <c r="B185" s="11">
        <v>99</v>
      </c>
      <c r="C185" s="3" t="s">
        <v>212</v>
      </c>
      <c r="D185" s="5"/>
      <c r="E185" s="3" t="s">
        <v>92</v>
      </c>
      <c r="F185" s="5" t="s">
        <v>213</v>
      </c>
      <c r="G185" s="5" t="s">
        <v>16</v>
      </c>
      <c r="H185" s="9"/>
      <c r="I185" s="10" t="s">
        <v>6</v>
      </c>
      <c r="J185" s="10" t="s">
        <v>7</v>
      </c>
      <c r="K185" s="5">
        <v>500</v>
      </c>
      <c r="L185" s="6"/>
      <c r="M185" s="86">
        <v>8595924212</v>
      </c>
      <c r="N185" s="5">
        <v>67</v>
      </c>
      <c r="O185" s="6">
        <f t="shared" si="5"/>
        <v>67</v>
      </c>
      <c r="P185" s="7">
        <f t="shared" si="4"/>
        <v>-433</v>
      </c>
      <c r="Q185" s="78"/>
      <c r="R185" s="79"/>
      <c r="S185" s="79"/>
    </row>
    <row r="186" spans="1:19" x14ac:dyDescent="0.25">
      <c r="A186" s="4">
        <v>184</v>
      </c>
      <c r="B186" s="11">
        <v>6312</v>
      </c>
      <c r="C186" s="3" t="s">
        <v>422</v>
      </c>
      <c r="D186" s="5"/>
      <c r="E186" s="3" t="s">
        <v>423</v>
      </c>
      <c r="F186" s="5" t="s">
        <v>148</v>
      </c>
      <c r="G186" s="5" t="s">
        <v>376</v>
      </c>
      <c r="H186" s="5" t="s">
        <v>5</v>
      </c>
      <c r="I186" s="3" t="s">
        <v>6</v>
      </c>
      <c r="J186" s="3" t="s">
        <v>7</v>
      </c>
      <c r="K186" s="5">
        <v>1000</v>
      </c>
      <c r="L186" s="6"/>
      <c r="M186" s="86">
        <v>8595924213</v>
      </c>
      <c r="N186" s="5">
        <v>99</v>
      </c>
      <c r="O186" s="6">
        <f t="shared" si="5"/>
        <v>99</v>
      </c>
      <c r="P186" s="7">
        <f t="shared" si="4"/>
        <v>-901</v>
      </c>
      <c r="Q186" s="78"/>
      <c r="R186" s="79"/>
      <c r="S186" s="79"/>
    </row>
    <row r="187" spans="1:19" x14ac:dyDescent="0.25">
      <c r="A187" s="4">
        <v>185</v>
      </c>
      <c r="B187" s="5" t="s">
        <v>214</v>
      </c>
      <c r="C187" s="3" t="s">
        <v>156</v>
      </c>
      <c r="D187" s="5"/>
      <c r="E187" s="3" t="s">
        <v>71</v>
      </c>
      <c r="F187" s="5" t="s">
        <v>215</v>
      </c>
      <c r="G187" s="5" t="s">
        <v>216</v>
      </c>
      <c r="H187" s="5" t="s">
        <v>119</v>
      </c>
      <c r="I187" s="3" t="s">
        <v>120</v>
      </c>
      <c r="J187" s="3" t="s">
        <v>82</v>
      </c>
      <c r="K187" s="5">
        <v>500</v>
      </c>
      <c r="L187" s="6"/>
      <c r="M187" s="86">
        <v>8595924214</v>
      </c>
      <c r="N187" s="5">
        <v>67</v>
      </c>
      <c r="O187" s="6">
        <f t="shared" si="5"/>
        <v>67</v>
      </c>
      <c r="P187" s="7">
        <f t="shared" si="4"/>
        <v>-433</v>
      </c>
      <c r="Q187" s="78"/>
      <c r="R187" s="79"/>
      <c r="S187" s="79"/>
    </row>
    <row r="188" spans="1:19" ht="24" x14ac:dyDescent="0.25">
      <c r="A188" s="4">
        <v>186</v>
      </c>
      <c r="B188" s="14">
        <v>6100</v>
      </c>
      <c r="C188" s="16" t="s">
        <v>217</v>
      </c>
      <c r="D188" s="14"/>
      <c r="E188" s="3" t="s">
        <v>92</v>
      </c>
      <c r="F188" s="5" t="s">
        <v>3</v>
      </c>
      <c r="G188" s="5" t="s">
        <v>16</v>
      </c>
      <c r="H188" s="9" t="s">
        <v>5</v>
      </c>
      <c r="I188" s="10" t="s">
        <v>6</v>
      </c>
      <c r="J188" s="3" t="s">
        <v>37</v>
      </c>
      <c r="K188" s="5">
        <v>500</v>
      </c>
      <c r="L188" s="6"/>
      <c r="M188" s="86">
        <v>8595924216</v>
      </c>
      <c r="N188" s="5">
        <v>67</v>
      </c>
      <c r="O188" s="6">
        <f t="shared" si="5"/>
        <v>67</v>
      </c>
      <c r="P188" s="7">
        <f t="shared" si="4"/>
        <v>-433</v>
      </c>
      <c r="Q188" s="78"/>
      <c r="R188" s="79"/>
      <c r="S188" s="79"/>
    </row>
    <row r="189" spans="1:19" ht="24" x14ac:dyDescent="0.25">
      <c r="A189" s="4">
        <v>187</v>
      </c>
      <c r="B189" s="23">
        <v>5907</v>
      </c>
      <c r="C189" s="15" t="s">
        <v>218</v>
      </c>
      <c r="D189" s="5"/>
      <c r="E189" s="3" t="s">
        <v>404</v>
      </c>
      <c r="F189" s="5" t="s">
        <v>3</v>
      </c>
      <c r="G189" s="14" t="s">
        <v>376</v>
      </c>
      <c r="H189" s="5" t="s">
        <v>5</v>
      </c>
      <c r="I189" s="10" t="s">
        <v>6</v>
      </c>
      <c r="J189" s="3" t="s">
        <v>37</v>
      </c>
      <c r="K189" s="5">
        <v>500</v>
      </c>
      <c r="L189" s="6"/>
      <c r="M189" s="86">
        <v>8595924217</v>
      </c>
      <c r="N189" s="5">
        <v>67</v>
      </c>
      <c r="O189" s="6">
        <f t="shared" si="5"/>
        <v>67</v>
      </c>
      <c r="P189" s="7">
        <f t="shared" si="4"/>
        <v>-433</v>
      </c>
      <c r="Q189" s="78"/>
      <c r="R189" s="79"/>
      <c r="S189" s="79"/>
    </row>
    <row r="190" spans="1:19" ht="24" x14ac:dyDescent="0.25">
      <c r="A190" s="4">
        <v>188</v>
      </c>
      <c r="B190" s="23">
        <v>5309</v>
      </c>
      <c r="C190" s="15" t="s">
        <v>219</v>
      </c>
      <c r="D190" s="14"/>
      <c r="E190" s="3" t="s">
        <v>404</v>
      </c>
      <c r="F190" s="5" t="s">
        <v>3</v>
      </c>
      <c r="G190" s="14" t="s">
        <v>376</v>
      </c>
      <c r="H190" s="5" t="s">
        <v>5</v>
      </c>
      <c r="I190" s="10" t="s">
        <v>6</v>
      </c>
      <c r="J190" s="3" t="s">
        <v>37</v>
      </c>
      <c r="K190" s="5">
        <v>500</v>
      </c>
      <c r="L190" s="6"/>
      <c r="M190" s="86">
        <v>8595924218</v>
      </c>
      <c r="N190" s="5">
        <v>99</v>
      </c>
      <c r="O190" s="6">
        <f t="shared" si="5"/>
        <v>99</v>
      </c>
      <c r="P190" s="7">
        <f t="shared" si="4"/>
        <v>-401</v>
      </c>
      <c r="Q190" s="78"/>
      <c r="R190" s="79"/>
      <c r="S190" s="79"/>
    </row>
    <row r="191" spans="1:19" ht="24" x14ac:dyDescent="0.25">
      <c r="A191" s="4">
        <v>189</v>
      </c>
      <c r="B191" s="24">
        <v>6078</v>
      </c>
      <c r="C191" s="2" t="s">
        <v>503</v>
      </c>
      <c r="D191" s="20"/>
      <c r="E191" s="3" t="s">
        <v>404</v>
      </c>
      <c r="F191" s="5" t="s">
        <v>3</v>
      </c>
      <c r="G191" s="20" t="s">
        <v>376</v>
      </c>
      <c r="H191" s="9" t="s">
        <v>5</v>
      </c>
      <c r="I191" s="10" t="s">
        <v>6</v>
      </c>
      <c r="J191" s="3" t="s">
        <v>37</v>
      </c>
      <c r="K191" s="5">
        <v>1000</v>
      </c>
      <c r="L191" s="6"/>
      <c r="M191" s="86">
        <v>8595924219</v>
      </c>
      <c r="N191" s="5">
        <v>67</v>
      </c>
      <c r="O191" s="6">
        <f t="shared" si="5"/>
        <v>67</v>
      </c>
      <c r="P191" s="7">
        <f t="shared" si="4"/>
        <v>-933</v>
      </c>
      <c r="Q191" s="78"/>
      <c r="R191" s="79"/>
      <c r="S191" s="79"/>
    </row>
    <row r="192" spans="1:19" x14ac:dyDescent="0.25">
      <c r="A192" s="4">
        <v>190</v>
      </c>
      <c r="B192" s="14">
        <v>4884</v>
      </c>
      <c r="C192" s="16" t="s">
        <v>460</v>
      </c>
      <c r="D192" s="20"/>
      <c r="E192" s="3" t="s">
        <v>71</v>
      </c>
      <c r="F192" s="5" t="s">
        <v>3</v>
      </c>
      <c r="G192" s="20" t="s">
        <v>216</v>
      </c>
      <c r="H192" s="9" t="s">
        <v>5</v>
      </c>
      <c r="I192" s="10" t="s">
        <v>6</v>
      </c>
      <c r="J192" s="3" t="s">
        <v>302</v>
      </c>
      <c r="K192" s="5">
        <v>500</v>
      </c>
      <c r="L192" s="6"/>
      <c r="M192" s="86">
        <v>8595924220</v>
      </c>
      <c r="N192" s="5">
        <v>67</v>
      </c>
      <c r="O192" s="6">
        <f t="shared" si="5"/>
        <v>67</v>
      </c>
      <c r="P192" s="7">
        <f t="shared" si="4"/>
        <v>-433</v>
      </c>
      <c r="Q192" s="78"/>
      <c r="R192" s="79"/>
      <c r="S192" s="79"/>
    </row>
    <row r="193" spans="1:19" ht="24" x14ac:dyDescent="0.25">
      <c r="A193" s="4">
        <v>191</v>
      </c>
      <c r="B193" s="14">
        <v>6170</v>
      </c>
      <c r="C193" s="16" t="s">
        <v>220</v>
      </c>
      <c r="D193" s="14"/>
      <c r="E193" s="3" t="s">
        <v>404</v>
      </c>
      <c r="F193" s="5" t="s">
        <v>3</v>
      </c>
      <c r="G193" s="20" t="s">
        <v>376</v>
      </c>
      <c r="H193" s="9" t="s">
        <v>5</v>
      </c>
      <c r="I193" s="10" t="s">
        <v>6</v>
      </c>
      <c r="J193" s="3" t="s">
        <v>37</v>
      </c>
      <c r="K193" s="5">
        <v>500</v>
      </c>
      <c r="L193" s="6"/>
      <c r="M193" s="86">
        <v>8595924223</v>
      </c>
      <c r="N193" s="5">
        <v>99</v>
      </c>
      <c r="O193" s="6">
        <f t="shared" si="5"/>
        <v>99</v>
      </c>
      <c r="P193" s="7">
        <f t="shared" si="4"/>
        <v>-401</v>
      </c>
      <c r="Q193" s="78"/>
      <c r="R193" s="79"/>
      <c r="S193" s="79"/>
    </row>
    <row r="194" spans="1:19" ht="24" x14ac:dyDescent="0.25">
      <c r="A194" s="4">
        <v>192</v>
      </c>
      <c r="B194" s="14">
        <v>5872</v>
      </c>
      <c r="C194" s="16" t="s">
        <v>93</v>
      </c>
      <c r="D194" s="14"/>
      <c r="E194" s="3" t="s">
        <v>404</v>
      </c>
      <c r="F194" s="5" t="s">
        <v>3</v>
      </c>
      <c r="G194" s="20" t="s">
        <v>376</v>
      </c>
      <c r="H194" s="9" t="s">
        <v>5</v>
      </c>
      <c r="I194" s="10" t="s">
        <v>6</v>
      </c>
      <c r="J194" s="3" t="s">
        <v>37</v>
      </c>
      <c r="K194" s="5">
        <v>500</v>
      </c>
      <c r="L194" s="6"/>
      <c r="M194" s="86">
        <v>8595924224</v>
      </c>
      <c r="N194" s="5">
        <v>99</v>
      </c>
      <c r="O194" s="6">
        <f t="shared" si="5"/>
        <v>99</v>
      </c>
      <c r="P194" s="7">
        <f t="shared" si="4"/>
        <v>-401</v>
      </c>
      <c r="Q194" s="78"/>
      <c r="R194" s="79"/>
      <c r="S194" s="79"/>
    </row>
    <row r="195" spans="1:19" ht="24" x14ac:dyDescent="0.25">
      <c r="A195" s="4">
        <v>193</v>
      </c>
      <c r="B195" s="14" t="s">
        <v>387</v>
      </c>
      <c r="C195" s="16" t="s">
        <v>388</v>
      </c>
      <c r="D195" s="14"/>
      <c r="E195" s="3" t="s">
        <v>389</v>
      </c>
      <c r="F195" s="5" t="s">
        <v>3</v>
      </c>
      <c r="G195" s="3" t="s">
        <v>390</v>
      </c>
      <c r="H195" s="9" t="s">
        <v>5</v>
      </c>
      <c r="I195" s="10" t="s">
        <v>6</v>
      </c>
      <c r="J195" s="3" t="s">
        <v>37</v>
      </c>
      <c r="K195" s="5">
        <v>500</v>
      </c>
      <c r="L195" s="6"/>
      <c r="M195" s="86">
        <v>8595924225</v>
      </c>
      <c r="N195" s="5">
        <v>67</v>
      </c>
      <c r="O195" s="6">
        <f t="shared" si="5"/>
        <v>67</v>
      </c>
      <c r="P195" s="7">
        <f t="shared" si="4"/>
        <v>-433</v>
      </c>
      <c r="Q195" s="78"/>
      <c r="R195" s="79"/>
      <c r="S195" s="79"/>
    </row>
    <row r="196" spans="1:19" ht="24.75" x14ac:dyDescent="0.25">
      <c r="A196" s="4">
        <v>194</v>
      </c>
      <c r="B196" s="14">
        <v>5896</v>
      </c>
      <c r="C196" s="16" t="s">
        <v>221</v>
      </c>
      <c r="D196" s="19"/>
      <c r="E196" s="3" t="s">
        <v>152</v>
      </c>
      <c r="F196" s="5" t="s">
        <v>3</v>
      </c>
      <c r="G196" s="20" t="s">
        <v>134</v>
      </c>
      <c r="H196" s="9" t="s">
        <v>5</v>
      </c>
      <c r="I196" s="10" t="s">
        <v>6</v>
      </c>
      <c r="J196" s="3" t="s">
        <v>37</v>
      </c>
      <c r="K196" s="5">
        <v>500</v>
      </c>
      <c r="L196" s="6"/>
      <c r="M196" s="86">
        <v>8595924226</v>
      </c>
      <c r="N196" s="5">
        <v>67</v>
      </c>
      <c r="O196" s="6">
        <f t="shared" si="5"/>
        <v>67</v>
      </c>
      <c r="P196" s="7">
        <f t="shared" ref="P196:P247" si="6">O196-K196</f>
        <v>-433</v>
      </c>
      <c r="Q196" s="78"/>
      <c r="R196" s="79"/>
      <c r="S196" s="79"/>
    </row>
    <row r="197" spans="1:19" ht="24" x14ac:dyDescent="0.25">
      <c r="A197" s="4">
        <v>195</v>
      </c>
      <c r="B197" s="14">
        <v>6131</v>
      </c>
      <c r="C197" s="16" t="s">
        <v>47</v>
      </c>
      <c r="D197" s="14"/>
      <c r="E197" s="3" t="s">
        <v>15</v>
      </c>
      <c r="F197" s="5" t="s">
        <v>3</v>
      </c>
      <c r="G197" s="20" t="s">
        <v>16</v>
      </c>
      <c r="H197" s="9" t="s">
        <v>5</v>
      </c>
      <c r="I197" s="10" t="s">
        <v>6</v>
      </c>
      <c r="J197" s="3" t="s">
        <v>37</v>
      </c>
      <c r="K197" s="5">
        <v>500</v>
      </c>
      <c r="L197" s="6"/>
      <c r="M197" s="86">
        <v>8595924227</v>
      </c>
      <c r="N197" s="5">
        <v>28.74</v>
      </c>
      <c r="O197" s="6">
        <f t="shared" ref="O197:O242" si="7">L197+N197</f>
        <v>28.74</v>
      </c>
      <c r="P197" s="7">
        <f t="shared" si="6"/>
        <v>-471.26</v>
      </c>
      <c r="Q197" s="78"/>
      <c r="R197" s="79"/>
      <c r="S197" s="79"/>
    </row>
    <row r="198" spans="1:19" ht="24" x14ac:dyDescent="0.25">
      <c r="A198" s="4">
        <v>196</v>
      </c>
      <c r="B198" s="14">
        <v>5861</v>
      </c>
      <c r="C198" s="16" t="s">
        <v>222</v>
      </c>
      <c r="D198" s="14"/>
      <c r="E198" s="3" t="s">
        <v>404</v>
      </c>
      <c r="F198" s="5" t="s">
        <v>3</v>
      </c>
      <c r="G198" s="20" t="s">
        <v>376</v>
      </c>
      <c r="H198" s="9" t="s">
        <v>5</v>
      </c>
      <c r="I198" s="10" t="s">
        <v>6</v>
      </c>
      <c r="J198" s="3" t="s">
        <v>37</v>
      </c>
      <c r="K198" s="5">
        <v>500</v>
      </c>
      <c r="L198" s="6"/>
      <c r="M198" s="86">
        <v>8595924228</v>
      </c>
      <c r="N198" s="5">
        <v>99</v>
      </c>
      <c r="O198" s="6">
        <f t="shared" si="7"/>
        <v>99</v>
      </c>
      <c r="P198" s="7">
        <f t="shared" si="6"/>
        <v>-401</v>
      </c>
      <c r="Q198" s="78"/>
      <c r="R198" s="79"/>
      <c r="S198" s="79"/>
    </row>
    <row r="199" spans="1:19" ht="24" x14ac:dyDescent="0.25">
      <c r="A199" s="4">
        <v>197</v>
      </c>
      <c r="B199" s="14">
        <v>5864</v>
      </c>
      <c r="C199" s="16" t="s">
        <v>223</v>
      </c>
      <c r="D199" s="14"/>
      <c r="E199" s="3" t="s">
        <v>152</v>
      </c>
      <c r="F199" s="5" t="s">
        <v>3</v>
      </c>
      <c r="G199" s="20" t="s">
        <v>134</v>
      </c>
      <c r="H199" s="9" t="s">
        <v>5</v>
      </c>
      <c r="I199" s="10" t="s">
        <v>6</v>
      </c>
      <c r="J199" s="3" t="s">
        <v>37</v>
      </c>
      <c r="K199" s="5">
        <v>500</v>
      </c>
      <c r="L199" s="6"/>
      <c r="M199" s="86">
        <v>8595924229</v>
      </c>
      <c r="N199" s="5">
        <v>67</v>
      </c>
      <c r="O199" s="6">
        <f t="shared" si="7"/>
        <v>67</v>
      </c>
      <c r="P199" s="7">
        <f t="shared" si="6"/>
        <v>-433</v>
      </c>
      <c r="Q199" s="78"/>
      <c r="R199" s="79"/>
      <c r="S199" s="79"/>
    </row>
    <row r="200" spans="1:19" ht="24" x14ac:dyDescent="0.25">
      <c r="A200" s="4">
        <v>198</v>
      </c>
      <c r="B200" s="3">
        <v>5424</v>
      </c>
      <c r="C200" s="16" t="s">
        <v>224</v>
      </c>
      <c r="D200" s="14"/>
      <c r="E200" s="3" t="s">
        <v>152</v>
      </c>
      <c r="F200" s="5" t="s">
        <v>3</v>
      </c>
      <c r="G200" s="20" t="s">
        <v>134</v>
      </c>
      <c r="H200" s="9" t="s">
        <v>5</v>
      </c>
      <c r="I200" s="10" t="s">
        <v>6</v>
      </c>
      <c r="J200" s="3" t="s">
        <v>37</v>
      </c>
      <c r="K200" s="5">
        <v>500</v>
      </c>
      <c r="L200" s="6"/>
      <c r="M200" s="86">
        <v>8595924230</v>
      </c>
      <c r="N200" s="5">
        <v>67</v>
      </c>
      <c r="O200" s="6">
        <f t="shared" si="7"/>
        <v>67</v>
      </c>
      <c r="P200" s="7">
        <f t="shared" si="6"/>
        <v>-433</v>
      </c>
      <c r="Q200" s="78"/>
      <c r="R200" s="79"/>
      <c r="S200" s="79"/>
    </row>
    <row r="201" spans="1:19" ht="24" x14ac:dyDescent="0.25">
      <c r="A201" s="4">
        <v>199</v>
      </c>
      <c r="B201" s="14">
        <v>5993</v>
      </c>
      <c r="C201" s="16" t="s">
        <v>225</v>
      </c>
      <c r="D201" s="14"/>
      <c r="E201" s="3" t="s">
        <v>152</v>
      </c>
      <c r="F201" s="5" t="s">
        <v>3</v>
      </c>
      <c r="G201" s="20" t="s">
        <v>134</v>
      </c>
      <c r="H201" s="9" t="s">
        <v>5</v>
      </c>
      <c r="I201" s="10" t="s">
        <v>6</v>
      </c>
      <c r="J201" s="3" t="s">
        <v>37</v>
      </c>
      <c r="K201" s="5">
        <v>500</v>
      </c>
      <c r="L201" s="6"/>
      <c r="M201" s="86">
        <v>8595924231</v>
      </c>
      <c r="N201" s="5">
        <v>67</v>
      </c>
      <c r="O201" s="6">
        <f t="shared" si="7"/>
        <v>67</v>
      </c>
      <c r="P201" s="7">
        <f t="shared" si="6"/>
        <v>-433</v>
      </c>
      <c r="Q201" s="78"/>
      <c r="R201" s="79"/>
      <c r="S201" s="79"/>
    </row>
    <row r="202" spans="1:19" ht="24" x14ac:dyDescent="0.25">
      <c r="A202" s="4">
        <v>200</v>
      </c>
      <c r="B202" s="14">
        <v>5564</v>
      </c>
      <c r="C202" s="16" t="s">
        <v>226</v>
      </c>
      <c r="D202" s="14"/>
      <c r="E202" s="3" t="s">
        <v>404</v>
      </c>
      <c r="F202" s="5" t="s">
        <v>3</v>
      </c>
      <c r="G202" s="20" t="s">
        <v>376</v>
      </c>
      <c r="H202" s="9" t="s">
        <v>5</v>
      </c>
      <c r="I202" s="10" t="s">
        <v>6</v>
      </c>
      <c r="J202" s="3" t="s">
        <v>37</v>
      </c>
      <c r="K202" s="5">
        <v>500</v>
      </c>
      <c r="L202" s="6"/>
      <c r="M202" s="86">
        <v>8595924232</v>
      </c>
      <c r="N202" s="5">
        <v>99</v>
      </c>
      <c r="O202" s="6">
        <f t="shared" si="7"/>
        <v>99</v>
      </c>
      <c r="P202" s="7">
        <f t="shared" si="6"/>
        <v>-401</v>
      </c>
      <c r="Q202" s="78"/>
      <c r="R202" s="79"/>
      <c r="S202" s="79"/>
    </row>
    <row r="203" spans="1:19" ht="24" x14ac:dyDescent="0.25">
      <c r="A203" s="4">
        <v>201</v>
      </c>
      <c r="B203" s="14">
        <v>6223</v>
      </c>
      <c r="C203" s="16" t="s">
        <v>227</v>
      </c>
      <c r="D203" s="14"/>
      <c r="E203" s="3" t="s">
        <v>404</v>
      </c>
      <c r="F203" s="5" t="s">
        <v>3</v>
      </c>
      <c r="G203" s="20" t="s">
        <v>376</v>
      </c>
      <c r="H203" s="9" t="s">
        <v>5</v>
      </c>
      <c r="I203" s="10" t="s">
        <v>6</v>
      </c>
      <c r="J203" s="3" t="s">
        <v>37</v>
      </c>
      <c r="K203" s="5">
        <v>500</v>
      </c>
      <c r="L203" s="6"/>
      <c r="M203" s="86">
        <v>8595924233</v>
      </c>
      <c r="N203" s="5">
        <v>99</v>
      </c>
      <c r="O203" s="6">
        <f t="shared" si="7"/>
        <v>99</v>
      </c>
      <c r="P203" s="7">
        <f t="shared" si="6"/>
        <v>-401</v>
      </c>
      <c r="Q203" s="78"/>
      <c r="R203" s="79"/>
      <c r="S203" s="79"/>
    </row>
    <row r="204" spans="1:19" ht="24" x14ac:dyDescent="0.25">
      <c r="A204" s="4">
        <v>202</v>
      </c>
      <c r="B204" s="14">
        <v>4861</v>
      </c>
      <c r="C204" s="16" t="s">
        <v>228</v>
      </c>
      <c r="D204" s="14"/>
      <c r="E204" s="3" t="s">
        <v>92</v>
      </c>
      <c r="F204" s="5" t="s">
        <v>3</v>
      </c>
      <c r="G204" s="20" t="s">
        <v>16</v>
      </c>
      <c r="H204" s="9" t="s">
        <v>5</v>
      </c>
      <c r="I204" s="10" t="s">
        <v>6</v>
      </c>
      <c r="J204" s="3" t="s">
        <v>37</v>
      </c>
      <c r="K204" s="5">
        <v>500</v>
      </c>
      <c r="L204" s="6"/>
      <c r="M204" s="86">
        <v>8595924234</v>
      </c>
      <c r="N204" s="5">
        <v>67</v>
      </c>
      <c r="O204" s="6">
        <f t="shared" si="7"/>
        <v>67</v>
      </c>
      <c r="P204" s="7">
        <f t="shared" si="6"/>
        <v>-433</v>
      </c>
      <c r="Q204" s="78"/>
      <c r="R204" s="79"/>
      <c r="S204" s="79"/>
    </row>
    <row r="205" spans="1:19" ht="24" x14ac:dyDescent="0.25">
      <c r="A205" s="4">
        <v>203</v>
      </c>
      <c r="B205" s="14">
        <v>6194</v>
      </c>
      <c r="C205" s="16" t="s">
        <v>50</v>
      </c>
      <c r="D205" s="14"/>
      <c r="E205" s="3" t="s">
        <v>92</v>
      </c>
      <c r="F205" s="5" t="s">
        <v>3</v>
      </c>
      <c r="G205" s="14" t="s">
        <v>184</v>
      </c>
      <c r="H205" s="9" t="s">
        <v>5</v>
      </c>
      <c r="I205" s="10" t="s">
        <v>6</v>
      </c>
      <c r="J205" s="3" t="s">
        <v>37</v>
      </c>
      <c r="K205" s="5">
        <v>500</v>
      </c>
      <c r="L205" s="6"/>
      <c r="M205" s="86">
        <v>8595924235</v>
      </c>
      <c r="N205" s="5">
        <v>67</v>
      </c>
      <c r="O205" s="6">
        <f t="shared" si="7"/>
        <v>67</v>
      </c>
      <c r="P205" s="7">
        <f t="shared" si="6"/>
        <v>-433</v>
      </c>
      <c r="Q205" s="78"/>
      <c r="R205" s="79"/>
      <c r="S205" s="79"/>
    </row>
    <row r="206" spans="1:19" ht="24" x14ac:dyDescent="0.25">
      <c r="A206" s="4">
        <v>204</v>
      </c>
      <c r="B206" s="14">
        <v>5574</v>
      </c>
      <c r="C206" s="16" t="s">
        <v>229</v>
      </c>
      <c r="D206" s="14"/>
      <c r="E206" s="3" t="s">
        <v>92</v>
      </c>
      <c r="F206" s="5" t="s">
        <v>3</v>
      </c>
      <c r="G206" s="14" t="s">
        <v>184</v>
      </c>
      <c r="H206" s="9" t="s">
        <v>5</v>
      </c>
      <c r="I206" s="10" t="s">
        <v>6</v>
      </c>
      <c r="J206" s="3" t="s">
        <v>37</v>
      </c>
      <c r="K206" s="5">
        <v>500</v>
      </c>
      <c r="L206" s="6"/>
      <c r="M206" s="86">
        <v>8595924236</v>
      </c>
      <c r="N206" s="5">
        <v>0</v>
      </c>
      <c r="O206" s="6">
        <f t="shared" si="7"/>
        <v>0</v>
      </c>
      <c r="P206" s="7">
        <f t="shared" si="6"/>
        <v>-500</v>
      </c>
      <c r="Q206" s="78"/>
      <c r="R206" s="79"/>
      <c r="S206" s="79"/>
    </row>
    <row r="207" spans="1:19" x14ac:dyDescent="0.25">
      <c r="A207" s="4">
        <v>205</v>
      </c>
      <c r="B207" s="14">
        <v>5543</v>
      </c>
      <c r="C207" s="16" t="s">
        <v>230</v>
      </c>
      <c r="D207" s="14"/>
      <c r="E207" s="3" t="s">
        <v>92</v>
      </c>
      <c r="F207" s="5" t="s">
        <v>3</v>
      </c>
      <c r="G207" s="14" t="s">
        <v>184</v>
      </c>
      <c r="H207" s="9" t="s">
        <v>5</v>
      </c>
      <c r="I207" s="10" t="s">
        <v>6</v>
      </c>
      <c r="J207" s="3" t="s">
        <v>24</v>
      </c>
      <c r="K207" s="5">
        <v>500</v>
      </c>
      <c r="L207" s="6"/>
      <c r="M207" s="86">
        <v>8595924237</v>
      </c>
      <c r="N207" s="5">
        <v>67</v>
      </c>
      <c r="O207" s="6">
        <f t="shared" si="7"/>
        <v>67</v>
      </c>
      <c r="P207" s="7">
        <f t="shared" si="6"/>
        <v>-433</v>
      </c>
      <c r="Q207" s="78"/>
      <c r="R207" s="79"/>
      <c r="S207" s="79"/>
    </row>
    <row r="208" spans="1:19" ht="24" x14ac:dyDescent="0.25">
      <c r="A208" s="4">
        <v>206</v>
      </c>
      <c r="B208" s="14">
        <v>6195</v>
      </c>
      <c r="C208" s="16" t="s">
        <v>231</v>
      </c>
      <c r="D208" s="14"/>
      <c r="E208" s="3" t="s">
        <v>92</v>
      </c>
      <c r="F208" s="5" t="s">
        <v>3</v>
      </c>
      <c r="G208" s="14" t="s">
        <v>184</v>
      </c>
      <c r="H208" s="9" t="s">
        <v>5</v>
      </c>
      <c r="I208" s="10" t="s">
        <v>6</v>
      </c>
      <c r="J208" s="3" t="s">
        <v>37</v>
      </c>
      <c r="K208" s="5">
        <v>500</v>
      </c>
      <c r="L208" s="6"/>
      <c r="M208" s="86">
        <v>8595924238</v>
      </c>
      <c r="N208" s="5">
        <v>67</v>
      </c>
      <c r="O208" s="6">
        <f t="shared" si="7"/>
        <v>67</v>
      </c>
      <c r="P208" s="7">
        <f t="shared" si="6"/>
        <v>-433</v>
      </c>
      <c r="Q208" s="78"/>
      <c r="R208" s="79"/>
      <c r="S208" s="79"/>
    </row>
    <row r="209" spans="1:22" ht="24" x14ac:dyDescent="0.25">
      <c r="A209" s="4">
        <v>207</v>
      </c>
      <c r="B209" s="14">
        <v>6011</v>
      </c>
      <c r="C209" s="16" t="s">
        <v>232</v>
      </c>
      <c r="D209" s="14"/>
      <c r="E209" s="3" t="s">
        <v>92</v>
      </c>
      <c r="F209" s="5" t="s">
        <v>3</v>
      </c>
      <c r="G209" s="14" t="s">
        <v>184</v>
      </c>
      <c r="H209" s="9" t="s">
        <v>5</v>
      </c>
      <c r="I209" s="10" t="s">
        <v>6</v>
      </c>
      <c r="J209" s="3" t="s">
        <v>37</v>
      </c>
      <c r="K209" s="5">
        <v>500</v>
      </c>
      <c r="L209" s="6"/>
      <c r="M209" s="86">
        <v>8595924239</v>
      </c>
      <c r="N209" s="5">
        <v>67</v>
      </c>
      <c r="O209" s="6">
        <f t="shared" si="7"/>
        <v>67</v>
      </c>
      <c r="P209" s="7">
        <f t="shared" si="6"/>
        <v>-433</v>
      </c>
      <c r="Q209" s="78"/>
      <c r="R209" s="79"/>
      <c r="S209" s="79"/>
    </row>
    <row r="210" spans="1:22" ht="24" x14ac:dyDescent="0.25">
      <c r="A210" s="4">
        <v>208</v>
      </c>
      <c r="B210" s="14">
        <v>6124</v>
      </c>
      <c r="C210" s="16" t="s">
        <v>233</v>
      </c>
      <c r="D210" s="14"/>
      <c r="E210" s="3" t="s">
        <v>92</v>
      </c>
      <c r="F210" s="5" t="s">
        <v>3</v>
      </c>
      <c r="G210" s="14" t="s">
        <v>184</v>
      </c>
      <c r="H210" s="9" t="s">
        <v>5</v>
      </c>
      <c r="I210" s="10" t="s">
        <v>6</v>
      </c>
      <c r="J210" s="3" t="s">
        <v>37</v>
      </c>
      <c r="K210" s="5">
        <v>500</v>
      </c>
      <c r="L210" s="6"/>
      <c r="M210" s="86">
        <v>8595924240</v>
      </c>
      <c r="N210" s="5">
        <v>67</v>
      </c>
      <c r="O210" s="6">
        <f t="shared" si="7"/>
        <v>67</v>
      </c>
      <c r="P210" s="7">
        <f t="shared" si="6"/>
        <v>-433</v>
      </c>
      <c r="Q210" s="78"/>
      <c r="R210" s="79"/>
      <c r="S210" s="79"/>
    </row>
    <row r="211" spans="1:22" x14ac:dyDescent="0.25">
      <c r="A211" s="4">
        <v>209</v>
      </c>
      <c r="B211" s="14">
        <v>6123</v>
      </c>
      <c r="C211" s="16" t="s">
        <v>420</v>
      </c>
      <c r="D211" s="14"/>
      <c r="E211" s="3" t="s">
        <v>92</v>
      </c>
      <c r="F211" s="5" t="s">
        <v>3</v>
      </c>
      <c r="G211" s="14" t="s">
        <v>184</v>
      </c>
      <c r="H211" s="9" t="s">
        <v>5</v>
      </c>
      <c r="I211" s="10" t="s">
        <v>6</v>
      </c>
      <c r="J211" s="3" t="s">
        <v>24</v>
      </c>
      <c r="K211" s="5">
        <v>500</v>
      </c>
      <c r="L211" s="6"/>
      <c r="M211" s="86">
        <v>8595924241</v>
      </c>
      <c r="N211" s="5">
        <v>67</v>
      </c>
      <c r="O211" s="6">
        <f t="shared" si="7"/>
        <v>67</v>
      </c>
      <c r="P211" s="7">
        <f t="shared" si="6"/>
        <v>-433</v>
      </c>
      <c r="Q211" s="78"/>
      <c r="R211" s="79"/>
      <c r="S211" s="79"/>
    </row>
    <row r="212" spans="1:22" ht="24" x14ac:dyDescent="0.25">
      <c r="A212" s="4">
        <v>210</v>
      </c>
      <c r="B212" s="14">
        <v>5539</v>
      </c>
      <c r="C212" s="16" t="s">
        <v>234</v>
      </c>
      <c r="D212" s="14"/>
      <c r="E212" s="3" t="s">
        <v>92</v>
      </c>
      <c r="F212" s="5" t="s">
        <v>3</v>
      </c>
      <c r="G212" s="14" t="s">
        <v>184</v>
      </c>
      <c r="H212" s="9" t="s">
        <v>5</v>
      </c>
      <c r="I212" s="10" t="s">
        <v>6</v>
      </c>
      <c r="J212" s="3" t="s">
        <v>37</v>
      </c>
      <c r="K212" s="5">
        <v>500</v>
      </c>
      <c r="L212" s="6"/>
      <c r="M212" s="86">
        <v>8595924242</v>
      </c>
      <c r="N212" s="5">
        <v>67</v>
      </c>
      <c r="O212" s="6">
        <f t="shared" si="7"/>
        <v>67</v>
      </c>
      <c r="P212" s="7">
        <f t="shared" si="6"/>
        <v>-433</v>
      </c>
      <c r="Q212" s="78"/>
      <c r="R212" s="79"/>
      <c r="S212" s="79"/>
    </row>
    <row r="213" spans="1:22" x14ac:dyDescent="0.25">
      <c r="A213" s="4">
        <v>211</v>
      </c>
      <c r="B213" s="14">
        <v>5303</v>
      </c>
      <c r="C213" s="16" t="s">
        <v>50</v>
      </c>
      <c r="D213" s="14"/>
      <c r="E213" s="3" t="s">
        <v>92</v>
      </c>
      <c r="F213" s="5" t="s">
        <v>3</v>
      </c>
      <c r="G213" s="14" t="s">
        <v>16</v>
      </c>
      <c r="H213" s="9" t="s">
        <v>5</v>
      </c>
      <c r="I213" s="10" t="s">
        <v>6</v>
      </c>
      <c r="J213" s="3" t="s">
        <v>19</v>
      </c>
      <c r="K213" s="5">
        <v>500</v>
      </c>
      <c r="L213" s="6"/>
      <c r="M213" s="86">
        <v>8595924243</v>
      </c>
      <c r="N213" s="5">
        <v>67</v>
      </c>
      <c r="O213" s="6">
        <f t="shared" si="7"/>
        <v>67</v>
      </c>
      <c r="P213" s="7">
        <f t="shared" si="6"/>
        <v>-433</v>
      </c>
      <c r="Q213" s="78"/>
      <c r="R213" s="79"/>
      <c r="S213" s="79"/>
    </row>
    <row r="214" spans="1:22" ht="24.75" x14ac:dyDescent="0.25">
      <c r="A214" s="4">
        <v>212</v>
      </c>
      <c r="B214" s="14">
        <v>6224</v>
      </c>
      <c r="C214" s="16" t="s">
        <v>235</v>
      </c>
      <c r="D214" s="14"/>
      <c r="E214" s="3" t="s">
        <v>92</v>
      </c>
      <c r="F214" s="5" t="s">
        <v>3</v>
      </c>
      <c r="G214" s="14" t="s">
        <v>184</v>
      </c>
      <c r="H214" s="9" t="s">
        <v>5</v>
      </c>
      <c r="I214" s="10" t="s">
        <v>6</v>
      </c>
      <c r="J214" s="3" t="s">
        <v>37</v>
      </c>
      <c r="K214" s="5">
        <v>500</v>
      </c>
      <c r="L214" s="6"/>
      <c r="M214" s="86">
        <v>8595924244</v>
      </c>
      <c r="N214" s="5">
        <v>67</v>
      </c>
      <c r="O214" s="6">
        <f t="shared" si="7"/>
        <v>67</v>
      </c>
      <c r="P214" s="7">
        <f t="shared" si="6"/>
        <v>-433</v>
      </c>
      <c r="Q214" s="78"/>
      <c r="R214" s="79"/>
      <c r="S214" s="79"/>
      <c r="V214" t="s">
        <v>421</v>
      </c>
    </row>
    <row r="215" spans="1:22" ht="24" x14ac:dyDescent="0.25">
      <c r="A215" s="4">
        <v>213</v>
      </c>
      <c r="B215" s="14">
        <v>6227</v>
      </c>
      <c r="C215" s="16" t="s">
        <v>68</v>
      </c>
      <c r="D215" s="14"/>
      <c r="E215" s="3" t="s">
        <v>92</v>
      </c>
      <c r="F215" s="5" t="s">
        <v>3</v>
      </c>
      <c r="G215" s="14" t="s">
        <v>184</v>
      </c>
      <c r="H215" s="9" t="s">
        <v>5</v>
      </c>
      <c r="I215" s="10" t="s">
        <v>6</v>
      </c>
      <c r="J215" s="3" t="s">
        <v>37</v>
      </c>
      <c r="K215" s="5">
        <v>500</v>
      </c>
      <c r="L215" s="6"/>
      <c r="M215" s="86">
        <v>8595924245</v>
      </c>
      <c r="N215" s="5">
        <v>67</v>
      </c>
      <c r="O215" s="6">
        <f t="shared" si="7"/>
        <v>67</v>
      </c>
      <c r="P215" s="7">
        <f t="shared" si="6"/>
        <v>-433</v>
      </c>
      <c r="Q215" s="78"/>
      <c r="R215" s="79"/>
      <c r="S215" s="79"/>
    </row>
    <row r="216" spans="1:22" ht="24" x14ac:dyDescent="0.25">
      <c r="A216" s="4">
        <v>214</v>
      </c>
      <c r="B216" s="14">
        <v>6154</v>
      </c>
      <c r="C216" s="16" t="s">
        <v>236</v>
      </c>
      <c r="D216" s="14"/>
      <c r="E216" s="3" t="s">
        <v>92</v>
      </c>
      <c r="F216" s="5" t="s">
        <v>3</v>
      </c>
      <c r="G216" s="14" t="s">
        <v>184</v>
      </c>
      <c r="H216" s="9" t="s">
        <v>5</v>
      </c>
      <c r="I216" s="10" t="s">
        <v>6</v>
      </c>
      <c r="J216" s="3" t="s">
        <v>37</v>
      </c>
      <c r="K216" s="5">
        <v>500</v>
      </c>
      <c r="L216" s="6"/>
      <c r="M216" s="86">
        <v>8595924247</v>
      </c>
      <c r="N216" s="5">
        <v>67</v>
      </c>
      <c r="O216" s="6">
        <f t="shared" si="7"/>
        <v>67</v>
      </c>
      <c r="P216" s="7">
        <f t="shared" si="6"/>
        <v>-433</v>
      </c>
      <c r="Q216" s="78"/>
      <c r="R216" s="79"/>
      <c r="S216" s="79"/>
    </row>
    <row r="217" spans="1:22" ht="24" x14ac:dyDescent="0.25">
      <c r="A217" s="4">
        <v>215</v>
      </c>
      <c r="B217" s="14">
        <v>6122</v>
      </c>
      <c r="C217" s="16" t="s">
        <v>237</v>
      </c>
      <c r="D217" s="14"/>
      <c r="E217" s="3" t="s">
        <v>92</v>
      </c>
      <c r="F217" s="5" t="s">
        <v>3</v>
      </c>
      <c r="G217" s="14" t="s">
        <v>184</v>
      </c>
      <c r="H217" s="9" t="s">
        <v>5</v>
      </c>
      <c r="I217" s="10" t="s">
        <v>6</v>
      </c>
      <c r="J217" s="3" t="s">
        <v>37</v>
      </c>
      <c r="K217" s="5">
        <v>500</v>
      </c>
      <c r="L217" s="6"/>
      <c r="M217" s="86">
        <v>8595924248</v>
      </c>
      <c r="N217" s="5">
        <v>67</v>
      </c>
      <c r="O217" s="6">
        <f t="shared" si="7"/>
        <v>67</v>
      </c>
      <c r="P217" s="7">
        <f t="shared" si="6"/>
        <v>-433</v>
      </c>
      <c r="Q217" s="78"/>
      <c r="R217" s="79"/>
      <c r="S217" s="79"/>
    </row>
    <row r="218" spans="1:22" ht="24" x14ac:dyDescent="0.25">
      <c r="A218" s="4">
        <v>216</v>
      </c>
      <c r="B218" s="14">
        <v>6103</v>
      </c>
      <c r="C218" s="16" t="s">
        <v>238</v>
      </c>
      <c r="D218" s="14"/>
      <c r="E218" s="3" t="s">
        <v>92</v>
      </c>
      <c r="F218" s="5" t="s">
        <v>3</v>
      </c>
      <c r="G218" s="14" t="s">
        <v>184</v>
      </c>
      <c r="H218" s="9" t="s">
        <v>5</v>
      </c>
      <c r="I218" s="10" t="s">
        <v>6</v>
      </c>
      <c r="J218" s="3" t="s">
        <v>37</v>
      </c>
      <c r="K218" s="5">
        <v>500</v>
      </c>
      <c r="L218" s="6"/>
      <c r="M218" s="86">
        <v>8595924249</v>
      </c>
      <c r="N218" s="5">
        <v>67</v>
      </c>
      <c r="O218" s="6">
        <f t="shared" si="7"/>
        <v>67</v>
      </c>
      <c r="P218" s="7">
        <f t="shared" si="6"/>
        <v>-433</v>
      </c>
      <c r="Q218" s="78"/>
      <c r="R218" s="79"/>
      <c r="S218" s="79"/>
    </row>
    <row r="219" spans="1:22" x14ac:dyDescent="0.25">
      <c r="A219" s="4">
        <v>217</v>
      </c>
      <c r="B219" s="146" t="s">
        <v>239</v>
      </c>
      <c r="C219" s="147"/>
      <c r="D219" s="147"/>
      <c r="E219" s="147"/>
      <c r="F219" s="147"/>
      <c r="G219" s="147"/>
      <c r="H219" s="148"/>
      <c r="I219" s="93" t="s">
        <v>6</v>
      </c>
      <c r="J219" s="93" t="s">
        <v>240</v>
      </c>
      <c r="K219" s="92"/>
      <c r="L219" s="94"/>
      <c r="M219" s="86">
        <v>8595924250</v>
      </c>
      <c r="N219" s="92">
        <v>0</v>
      </c>
      <c r="O219" s="94">
        <f t="shared" si="7"/>
        <v>0</v>
      </c>
      <c r="P219" s="95">
        <f t="shared" si="6"/>
        <v>0</v>
      </c>
      <c r="Q219" s="78"/>
      <c r="R219" s="79"/>
      <c r="S219" s="79"/>
    </row>
    <row r="220" spans="1:22" ht="24" x14ac:dyDescent="0.25">
      <c r="A220" s="4">
        <v>218</v>
      </c>
      <c r="B220" s="14">
        <v>5928</v>
      </c>
      <c r="C220" s="16" t="s">
        <v>417</v>
      </c>
      <c r="D220" s="14"/>
      <c r="E220" s="3" t="s">
        <v>92</v>
      </c>
      <c r="F220" s="5" t="s">
        <v>3</v>
      </c>
      <c r="G220" s="20" t="s">
        <v>186</v>
      </c>
      <c r="H220" s="9" t="s">
        <v>5</v>
      </c>
      <c r="I220" s="10" t="s">
        <v>6</v>
      </c>
      <c r="J220" s="3" t="s">
        <v>37</v>
      </c>
      <c r="K220" s="5">
        <v>500</v>
      </c>
      <c r="L220" s="6"/>
      <c r="M220" s="86">
        <v>8595924254</v>
      </c>
      <c r="N220" s="5">
        <v>99</v>
      </c>
      <c r="O220" s="6">
        <f t="shared" si="7"/>
        <v>99</v>
      </c>
      <c r="P220" s="7">
        <f t="shared" si="6"/>
        <v>-401</v>
      </c>
      <c r="Q220" s="78"/>
      <c r="R220" s="79"/>
      <c r="S220" s="79"/>
    </row>
    <row r="221" spans="1:22" s="84" customFormat="1" ht="24" x14ac:dyDescent="0.25">
      <c r="A221" s="4">
        <v>219</v>
      </c>
      <c r="B221" s="14">
        <v>5863</v>
      </c>
      <c r="C221" s="16" t="s">
        <v>242</v>
      </c>
      <c r="D221" s="14"/>
      <c r="E221" s="3" t="s">
        <v>404</v>
      </c>
      <c r="F221" s="5" t="s">
        <v>3</v>
      </c>
      <c r="G221" s="20" t="s">
        <v>376</v>
      </c>
      <c r="H221" s="9" t="s">
        <v>5</v>
      </c>
      <c r="I221" s="10" t="s">
        <v>6</v>
      </c>
      <c r="J221" s="3" t="s">
        <v>37</v>
      </c>
      <c r="K221" s="5">
        <v>500</v>
      </c>
      <c r="L221" s="6"/>
      <c r="M221" s="86">
        <v>8595924255</v>
      </c>
      <c r="N221" s="5">
        <v>67</v>
      </c>
      <c r="O221" s="6">
        <f t="shared" si="7"/>
        <v>67</v>
      </c>
      <c r="P221" s="7">
        <f t="shared" si="6"/>
        <v>-433</v>
      </c>
      <c r="Q221" s="116"/>
      <c r="R221" s="87"/>
      <c r="S221" s="87"/>
    </row>
    <row r="222" spans="1:22" ht="24" x14ac:dyDescent="0.25">
      <c r="A222" s="4">
        <v>220</v>
      </c>
      <c r="B222" s="14">
        <v>5254</v>
      </c>
      <c r="C222" s="16" t="s">
        <v>243</v>
      </c>
      <c r="D222" s="14"/>
      <c r="E222" s="3" t="s">
        <v>404</v>
      </c>
      <c r="F222" s="5" t="s">
        <v>3</v>
      </c>
      <c r="G222" s="20" t="s">
        <v>376</v>
      </c>
      <c r="H222" s="9" t="s">
        <v>5</v>
      </c>
      <c r="I222" s="10" t="s">
        <v>6</v>
      </c>
      <c r="J222" s="3" t="s">
        <v>37</v>
      </c>
      <c r="K222" s="5">
        <v>500</v>
      </c>
      <c r="L222" s="6"/>
      <c r="M222" s="86">
        <v>8595924256</v>
      </c>
      <c r="N222" s="5">
        <v>67</v>
      </c>
      <c r="O222" s="6">
        <f t="shared" si="7"/>
        <v>67</v>
      </c>
      <c r="P222" s="7">
        <f t="shared" si="6"/>
        <v>-433</v>
      </c>
      <c r="Q222" s="78"/>
      <c r="R222" s="79"/>
      <c r="S222" s="79"/>
    </row>
    <row r="223" spans="1:22" ht="24" x14ac:dyDescent="0.25">
      <c r="A223" s="4">
        <v>221</v>
      </c>
      <c r="B223" s="14" t="s">
        <v>395</v>
      </c>
      <c r="C223" s="16" t="s">
        <v>394</v>
      </c>
      <c r="D223" s="14"/>
      <c r="E223" s="3" t="s">
        <v>389</v>
      </c>
      <c r="F223" s="5" t="s">
        <v>3</v>
      </c>
      <c r="G223" s="20" t="s">
        <v>393</v>
      </c>
      <c r="H223" s="9" t="s">
        <v>5</v>
      </c>
      <c r="I223" s="10" t="s">
        <v>6</v>
      </c>
      <c r="J223" s="3" t="s">
        <v>37</v>
      </c>
      <c r="K223" s="5">
        <v>500</v>
      </c>
      <c r="L223" s="6"/>
      <c r="M223" s="86">
        <v>8595924257</v>
      </c>
      <c r="N223" s="5">
        <v>67</v>
      </c>
      <c r="O223" s="6">
        <f t="shared" si="7"/>
        <v>67</v>
      </c>
      <c r="P223" s="7">
        <f t="shared" si="6"/>
        <v>-433</v>
      </c>
      <c r="Q223" s="78"/>
      <c r="R223" s="79"/>
      <c r="S223" s="79"/>
    </row>
    <row r="224" spans="1:22" ht="24" x14ac:dyDescent="0.25">
      <c r="A224" s="4">
        <v>222</v>
      </c>
      <c r="B224" s="14">
        <v>5863</v>
      </c>
      <c r="C224" s="16" t="s">
        <v>242</v>
      </c>
      <c r="D224" s="14"/>
      <c r="E224" s="3" t="s">
        <v>241</v>
      </c>
      <c r="F224" s="5" t="s">
        <v>3</v>
      </c>
      <c r="G224" s="20" t="s">
        <v>134</v>
      </c>
      <c r="H224" s="9" t="s">
        <v>5</v>
      </c>
      <c r="I224" s="10" t="s">
        <v>6</v>
      </c>
      <c r="J224" s="3" t="s">
        <v>37</v>
      </c>
      <c r="K224" s="5">
        <v>500</v>
      </c>
      <c r="L224" s="6"/>
      <c r="M224" s="86">
        <v>8595924258</v>
      </c>
      <c r="N224" s="5">
        <v>67</v>
      </c>
      <c r="O224" s="6">
        <f t="shared" si="7"/>
        <v>67</v>
      </c>
      <c r="P224" s="7">
        <f t="shared" si="6"/>
        <v>-433</v>
      </c>
      <c r="Q224" s="78"/>
      <c r="R224" s="79"/>
      <c r="S224" s="79"/>
    </row>
    <row r="225" spans="1:19" ht="24" x14ac:dyDescent="0.25">
      <c r="A225" s="4">
        <v>223</v>
      </c>
      <c r="B225" s="14">
        <v>5245</v>
      </c>
      <c r="C225" s="16" t="s">
        <v>244</v>
      </c>
      <c r="D225" s="14"/>
      <c r="E225" s="3" t="s">
        <v>241</v>
      </c>
      <c r="F225" s="5" t="s">
        <v>3</v>
      </c>
      <c r="G225" s="20" t="s">
        <v>134</v>
      </c>
      <c r="H225" s="9" t="s">
        <v>5</v>
      </c>
      <c r="I225" s="10" t="s">
        <v>6</v>
      </c>
      <c r="J225" s="3" t="s">
        <v>37</v>
      </c>
      <c r="K225" s="5">
        <v>500</v>
      </c>
      <c r="L225" s="6"/>
      <c r="M225" s="86">
        <v>8595924259</v>
      </c>
      <c r="N225" s="5">
        <v>67</v>
      </c>
      <c r="O225" s="6">
        <f t="shared" si="7"/>
        <v>67</v>
      </c>
      <c r="P225" s="7">
        <f t="shared" si="6"/>
        <v>-433</v>
      </c>
      <c r="Q225" s="78"/>
      <c r="R225" s="79"/>
      <c r="S225" s="79"/>
    </row>
    <row r="226" spans="1:19" ht="24" x14ac:dyDescent="0.25">
      <c r="A226" s="4">
        <v>224</v>
      </c>
      <c r="B226" s="14">
        <v>5323</v>
      </c>
      <c r="C226" s="16" t="s">
        <v>245</v>
      </c>
      <c r="D226" s="14"/>
      <c r="E226" s="3" t="s">
        <v>241</v>
      </c>
      <c r="F226" s="5" t="s">
        <v>3</v>
      </c>
      <c r="G226" s="20" t="s">
        <v>134</v>
      </c>
      <c r="H226" s="9" t="s">
        <v>5</v>
      </c>
      <c r="I226" s="10" t="s">
        <v>6</v>
      </c>
      <c r="J226" s="3" t="s">
        <v>37</v>
      </c>
      <c r="K226" s="5">
        <v>500</v>
      </c>
      <c r="L226" s="6"/>
      <c r="M226" s="86">
        <v>8595924260</v>
      </c>
      <c r="N226" s="5">
        <v>67</v>
      </c>
      <c r="O226" s="6">
        <f t="shared" si="7"/>
        <v>67</v>
      </c>
      <c r="P226" s="7">
        <f t="shared" si="6"/>
        <v>-433</v>
      </c>
      <c r="Q226" s="78"/>
      <c r="R226" s="79"/>
      <c r="S226" s="79"/>
    </row>
    <row r="227" spans="1:19" x14ac:dyDescent="0.25">
      <c r="A227" s="4">
        <v>225</v>
      </c>
      <c r="B227" s="14" t="s">
        <v>325</v>
      </c>
      <c r="C227" s="16" t="s">
        <v>426</v>
      </c>
      <c r="D227" s="14"/>
      <c r="E227" s="3" t="s">
        <v>398</v>
      </c>
      <c r="F227" s="5" t="s">
        <v>3</v>
      </c>
      <c r="G227" s="20" t="s">
        <v>325</v>
      </c>
      <c r="H227" s="9" t="s">
        <v>5</v>
      </c>
      <c r="I227" s="10" t="s">
        <v>6</v>
      </c>
      <c r="J227" s="3" t="s">
        <v>426</v>
      </c>
      <c r="K227" s="5">
        <v>500</v>
      </c>
      <c r="L227" s="6"/>
      <c r="M227" s="86">
        <v>8595924261</v>
      </c>
      <c r="N227" s="5">
        <v>67</v>
      </c>
      <c r="O227" s="6">
        <f t="shared" si="7"/>
        <v>67</v>
      </c>
      <c r="P227" s="7">
        <f t="shared" si="6"/>
        <v>-433</v>
      </c>
      <c r="Q227" s="78"/>
      <c r="R227" s="79"/>
      <c r="S227" s="79"/>
    </row>
    <row r="228" spans="1:19" ht="24" x14ac:dyDescent="0.25">
      <c r="A228" s="4">
        <v>226</v>
      </c>
      <c r="B228" s="14">
        <v>5930</v>
      </c>
      <c r="C228" s="16" t="s">
        <v>246</v>
      </c>
      <c r="D228" s="14"/>
      <c r="E228" s="3" t="s">
        <v>241</v>
      </c>
      <c r="F228" s="5" t="s">
        <v>3</v>
      </c>
      <c r="G228" s="20" t="s">
        <v>376</v>
      </c>
      <c r="H228" s="9" t="s">
        <v>5</v>
      </c>
      <c r="I228" s="10" t="s">
        <v>6</v>
      </c>
      <c r="J228" s="3" t="s">
        <v>37</v>
      </c>
      <c r="K228" s="5">
        <v>500</v>
      </c>
      <c r="L228" s="6"/>
      <c r="M228" s="86">
        <v>8595924262</v>
      </c>
      <c r="N228" s="5">
        <v>99</v>
      </c>
      <c r="O228" s="6">
        <f t="shared" si="7"/>
        <v>99</v>
      </c>
      <c r="P228" s="7">
        <f t="shared" si="6"/>
        <v>-401</v>
      </c>
      <c r="Q228" s="78"/>
      <c r="R228" s="79"/>
      <c r="S228" s="79"/>
    </row>
    <row r="229" spans="1:19" ht="24.75" x14ac:dyDescent="0.25">
      <c r="A229" s="4">
        <v>227</v>
      </c>
      <c r="B229" s="14">
        <v>5506</v>
      </c>
      <c r="C229" s="16" t="s">
        <v>247</v>
      </c>
      <c r="D229" s="14"/>
      <c r="E229" s="3" t="s">
        <v>404</v>
      </c>
      <c r="F229" s="5" t="s">
        <v>3</v>
      </c>
      <c r="G229" s="20" t="s">
        <v>376</v>
      </c>
      <c r="H229" s="9" t="s">
        <v>5</v>
      </c>
      <c r="I229" s="10" t="s">
        <v>6</v>
      </c>
      <c r="J229" s="3" t="s">
        <v>37</v>
      </c>
      <c r="K229" s="5">
        <v>500</v>
      </c>
      <c r="L229" s="6"/>
      <c r="M229" s="86">
        <v>8595924263</v>
      </c>
      <c r="N229" s="5">
        <v>99</v>
      </c>
      <c r="O229" s="6">
        <f t="shared" si="7"/>
        <v>99</v>
      </c>
      <c r="P229" s="7">
        <f t="shared" si="6"/>
        <v>-401</v>
      </c>
      <c r="Q229" s="78"/>
      <c r="R229" s="79"/>
      <c r="S229" s="79"/>
    </row>
    <row r="230" spans="1:19" ht="24" x14ac:dyDescent="0.25">
      <c r="A230" s="4">
        <v>228</v>
      </c>
      <c r="B230" s="14">
        <v>82</v>
      </c>
      <c r="C230" s="16" t="s">
        <v>248</v>
      </c>
      <c r="D230" s="14"/>
      <c r="E230" s="3" t="s">
        <v>92</v>
      </c>
      <c r="F230" s="5" t="s">
        <v>3</v>
      </c>
      <c r="G230" s="20" t="s">
        <v>186</v>
      </c>
      <c r="H230" s="9" t="s">
        <v>5</v>
      </c>
      <c r="I230" s="10" t="s">
        <v>6</v>
      </c>
      <c r="J230" s="3" t="s">
        <v>37</v>
      </c>
      <c r="K230" s="5">
        <v>500</v>
      </c>
      <c r="L230" s="6"/>
      <c r="M230" s="86">
        <v>8595924264</v>
      </c>
      <c r="N230" s="5">
        <v>67</v>
      </c>
      <c r="O230" s="6">
        <f t="shared" si="7"/>
        <v>67</v>
      </c>
      <c r="P230" s="7">
        <f t="shared" si="6"/>
        <v>-433</v>
      </c>
      <c r="Q230" s="78"/>
      <c r="R230" s="79"/>
      <c r="S230" s="79"/>
    </row>
    <row r="231" spans="1:19" ht="24" x14ac:dyDescent="0.25">
      <c r="A231" s="4">
        <v>229</v>
      </c>
      <c r="B231" s="14">
        <v>6194</v>
      </c>
      <c r="C231" s="3" t="s">
        <v>79</v>
      </c>
      <c r="D231" s="3"/>
      <c r="E231" s="3" t="s">
        <v>44</v>
      </c>
      <c r="F231" s="10" t="s">
        <v>3</v>
      </c>
      <c r="G231" s="3" t="s">
        <v>39</v>
      </c>
      <c r="H231" s="9" t="s">
        <v>5</v>
      </c>
      <c r="I231" s="10" t="s">
        <v>6</v>
      </c>
      <c r="J231" s="3" t="s">
        <v>37</v>
      </c>
      <c r="K231" s="5">
        <v>1000</v>
      </c>
      <c r="L231" s="6"/>
      <c r="M231" s="86">
        <v>8595924265</v>
      </c>
      <c r="N231" s="5">
        <v>125</v>
      </c>
      <c r="O231" s="6">
        <f t="shared" si="7"/>
        <v>125</v>
      </c>
      <c r="P231" s="7">
        <f t="shared" si="6"/>
        <v>-875</v>
      </c>
      <c r="Q231" s="78"/>
      <c r="R231" s="79"/>
      <c r="S231" s="79"/>
    </row>
    <row r="232" spans="1:19" ht="24" x14ac:dyDescent="0.25">
      <c r="A232" s="4">
        <v>230</v>
      </c>
      <c r="B232" s="14">
        <v>4854</v>
      </c>
      <c r="C232" s="16" t="s">
        <v>36</v>
      </c>
      <c r="D232" s="14"/>
      <c r="E232" s="3" t="s">
        <v>92</v>
      </c>
      <c r="F232" s="5" t="s">
        <v>3</v>
      </c>
      <c r="G232" s="14" t="s">
        <v>30</v>
      </c>
      <c r="H232" s="9" t="s">
        <v>5</v>
      </c>
      <c r="I232" s="10" t="s">
        <v>6</v>
      </c>
      <c r="J232" s="3" t="s">
        <v>37</v>
      </c>
      <c r="K232" s="5">
        <v>500</v>
      </c>
      <c r="L232" s="6"/>
      <c r="M232" s="86">
        <v>8595924267</v>
      </c>
      <c r="N232" s="5">
        <v>67</v>
      </c>
      <c r="O232" s="6">
        <f t="shared" si="7"/>
        <v>67</v>
      </c>
      <c r="P232" s="7">
        <f t="shared" si="6"/>
        <v>-433</v>
      </c>
      <c r="Q232" s="78"/>
      <c r="R232" s="79"/>
      <c r="S232" s="79"/>
    </row>
    <row r="233" spans="1:19" ht="24" x14ac:dyDescent="0.25">
      <c r="A233" s="4">
        <v>231</v>
      </c>
      <c r="B233" s="14">
        <v>4964</v>
      </c>
      <c r="C233" s="16" t="s">
        <v>249</v>
      </c>
      <c r="D233" s="14"/>
      <c r="E233" s="3" t="s">
        <v>92</v>
      </c>
      <c r="F233" s="5" t="s">
        <v>3</v>
      </c>
      <c r="G233" s="14" t="s">
        <v>30</v>
      </c>
      <c r="H233" s="9" t="s">
        <v>5</v>
      </c>
      <c r="I233" s="10" t="s">
        <v>6</v>
      </c>
      <c r="J233" s="3" t="s">
        <v>37</v>
      </c>
      <c r="K233" s="5">
        <v>500</v>
      </c>
      <c r="L233" s="6"/>
      <c r="M233" s="86">
        <v>8595924268</v>
      </c>
      <c r="N233" s="5">
        <v>67</v>
      </c>
      <c r="O233" s="6">
        <f t="shared" si="7"/>
        <v>67</v>
      </c>
      <c r="P233" s="7">
        <f t="shared" si="6"/>
        <v>-433</v>
      </c>
      <c r="Q233" s="78"/>
      <c r="R233" s="79"/>
      <c r="S233" s="79"/>
    </row>
    <row r="234" spans="1:19" ht="24" x14ac:dyDescent="0.25">
      <c r="A234" s="4">
        <v>232</v>
      </c>
      <c r="B234" s="14">
        <v>6569</v>
      </c>
      <c r="C234" s="16" t="s">
        <v>250</v>
      </c>
      <c r="D234" s="14"/>
      <c r="E234" s="3" t="s">
        <v>92</v>
      </c>
      <c r="F234" s="5" t="s">
        <v>3</v>
      </c>
      <c r="G234" s="14" t="s">
        <v>251</v>
      </c>
      <c r="H234" s="9" t="s">
        <v>5</v>
      </c>
      <c r="I234" s="10" t="s">
        <v>6</v>
      </c>
      <c r="J234" s="3" t="s">
        <v>37</v>
      </c>
      <c r="K234" s="5">
        <v>500</v>
      </c>
      <c r="L234" s="6"/>
      <c r="M234" s="86">
        <v>8595924269</v>
      </c>
      <c r="N234" s="5">
        <v>67</v>
      </c>
      <c r="O234" s="6">
        <f t="shared" si="7"/>
        <v>67</v>
      </c>
      <c r="P234" s="7">
        <f t="shared" si="6"/>
        <v>-433</v>
      </c>
      <c r="Q234" s="78"/>
      <c r="R234" s="79" t="s">
        <v>505</v>
      </c>
      <c r="S234" s="79"/>
    </row>
    <row r="235" spans="1:19" ht="13.5" customHeight="1" x14ac:dyDescent="0.25">
      <c r="A235" s="4">
        <v>233</v>
      </c>
      <c r="B235" s="14" t="s">
        <v>398</v>
      </c>
      <c r="C235" s="16" t="s">
        <v>464</v>
      </c>
      <c r="D235" s="14"/>
      <c r="E235" s="3" t="s">
        <v>379</v>
      </c>
      <c r="F235" s="5" t="s">
        <v>42</v>
      </c>
      <c r="G235" s="14" t="s">
        <v>385</v>
      </c>
      <c r="H235" s="5" t="s">
        <v>253</v>
      </c>
      <c r="I235" s="10" t="s">
        <v>6</v>
      </c>
      <c r="J235" s="3" t="s">
        <v>240</v>
      </c>
      <c r="K235" s="5">
        <v>1000</v>
      </c>
      <c r="L235" s="6"/>
      <c r="M235" s="86">
        <v>8595924275</v>
      </c>
      <c r="N235" s="5">
        <v>67</v>
      </c>
      <c r="O235" s="6">
        <f t="shared" si="7"/>
        <v>67</v>
      </c>
      <c r="P235" s="7">
        <f t="shared" si="6"/>
        <v>-933</v>
      </c>
      <c r="Q235" s="78"/>
      <c r="R235" s="79"/>
      <c r="S235" s="79"/>
    </row>
    <row r="236" spans="1:19" s="84" customFormat="1" ht="24" x14ac:dyDescent="0.25">
      <c r="A236" s="4">
        <v>234</v>
      </c>
      <c r="B236" s="11" t="s">
        <v>254</v>
      </c>
      <c r="C236" s="3" t="s">
        <v>255</v>
      </c>
      <c r="D236" s="5"/>
      <c r="E236" s="3"/>
      <c r="F236" s="5"/>
      <c r="G236" s="5"/>
      <c r="H236" s="5"/>
      <c r="I236" s="3"/>
      <c r="J236" s="3" t="s">
        <v>254</v>
      </c>
      <c r="K236" s="5">
        <v>0</v>
      </c>
      <c r="L236" s="6"/>
      <c r="M236" s="86">
        <v>9717333572</v>
      </c>
      <c r="N236" s="6">
        <v>0</v>
      </c>
      <c r="O236" s="6">
        <f>L236+N236</f>
        <v>0</v>
      </c>
      <c r="P236" s="7">
        <f t="shared" si="6"/>
        <v>0</v>
      </c>
      <c r="Q236" s="116"/>
      <c r="R236" s="87"/>
      <c r="S236" s="87"/>
    </row>
    <row r="237" spans="1:19" s="84" customFormat="1" ht="24" x14ac:dyDescent="0.25">
      <c r="A237" s="4">
        <v>235</v>
      </c>
      <c r="B237" s="11" t="s">
        <v>474</v>
      </c>
      <c r="C237" s="3" t="s">
        <v>475</v>
      </c>
      <c r="D237" s="5"/>
      <c r="E237" s="3" t="s">
        <v>474</v>
      </c>
      <c r="F237" s="5"/>
      <c r="G237" s="5"/>
      <c r="H237" s="5"/>
      <c r="I237" s="3"/>
      <c r="J237" s="3" t="s">
        <v>37</v>
      </c>
      <c r="K237" s="5">
        <v>0</v>
      </c>
      <c r="L237" s="6"/>
      <c r="M237" s="86">
        <v>9717397744</v>
      </c>
      <c r="N237" s="5">
        <v>67</v>
      </c>
      <c r="O237" s="6">
        <f t="shared" si="7"/>
        <v>67</v>
      </c>
      <c r="P237" s="7">
        <f t="shared" si="6"/>
        <v>67</v>
      </c>
      <c r="Q237" s="116"/>
      <c r="R237" s="87"/>
      <c r="S237" s="87"/>
    </row>
    <row r="238" spans="1:19" s="84" customFormat="1" x14ac:dyDescent="0.25">
      <c r="A238" s="4">
        <v>236</v>
      </c>
      <c r="B238" s="11" t="s">
        <v>256</v>
      </c>
      <c r="C238" s="3" t="s">
        <v>257</v>
      </c>
      <c r="D238" s="5"/>
      <c r="E238" s="3"/>
      <c r="F238" s="5"/>
      <c r="G238" s="5"/>
      <c r="H238" s="5"/>
      <c r="I238" s="3"/>
      <c r="J238" s="3" t="s">
        <v>31</v>
      </c>
      <c r="K238" s="5">
        <v>0</v>
      </c>
      <c r="L238" s="12"/>
      <c r="M238" s="86">
        <v>9717640700</v>
      </c>
      <c r="N238" s="14">
        <v>99</v>
      </c>
      <c r="O238" s="6">
        <f t="shared" si="7"/>
        <v>99</v>
      </c>
      <c r="P238" s="7">
        <f t="shared" si="6"/>
        <v>99</v>
      </c>
      <c r="Q238" s="116"/>
      <c r="R238" s="87"/>
      <c r="S238" s="87"/>
    </row>
    <row r="239" spans="1:19" s="84" customFormat="1" ht="24" x14ac:dyDescent="0.25">
      <c r="A239" s="4">
        <v>237</v>
      </c>
      <c r="B239" s="11" t="s">
        <v>258</v>
      </c>
      <c r="C239" s="3" t="s">
        <v>259</v>
      </c>
      <c r="D239" s="5"/>
      <c r="E239" s="3"/>
      <c r="F239" s="5"/>
      <c r="G239" s="5"/>
      <c r="H239" s="5"/>
      <c r="I239" s="3"/>
      <c r="J239" s="3" t="s">
        <v>31</v>
      </c>
      <c r="K239" s="5">
        <v>0</v>
      </c>
      <c r="L239" s="6"/>
      <c r="M239" s="86">
        <v>9717645700</v>
      </c>
      <c r="N239" s="5">
        <v>99</v>
      </c>
      <c r="O239" s="6">
        <f t="shared" si="7"/>
        <v>99</v>
      </c>
      <c r="P239" s="7">
        <f t="shared" si="6"/>
        <v>99</v>
      </c>
      <c r="Q239" s="116"/>
      <c r="R239" s="87"/>
      <c r="S239" s="87"/>
    </row>
    <row r="240" spans="1:19" s="84" customFormat="1" x14ac:dyDescent="0.25">
      <c r="A240" s="4">
        <v>238</v>
      </c>
      <c r="B240" s="11" t="s">
        <v>260</v>
      </c>
      <c r="C240" s="3" t="s">
        <v>261</v>
      </c>
      <c r="D240" s="5"/>
      <c r="E240" s="3"/>
      <c r="F240" s="5"/>
      <c r="G240" s="5"/>
      <c r="H240" s="5"/>
      <c r="I240" s="3"/>
      <c r="J240" s="10" t="s">
        <v>7</v>
      </c>
      <c r="K240" s="5">
        <v>0</v>
      </c>
      <c r="L240" s="6"/>
      <c r="M240" s="86">
        <v>9717645792</v>
      </c>
      <c r="N240" s="5">
        <v>0</v>
      </c>
      <c r="O240" s="6">
        <f t="shared" si="7"/>
        <v>0</v>
      </c>
      <c r="P240" s="7">
        <f t="shared" si="6"/>
        <v>0</v>
      </c>
      <c r="Q240" s="116"/>
      <c r="R240" s="87"/>
      <c r="S240" s="87"/>
    </row>
    <row r="241" spans="1:19" ht="24" x14ac:dyDescent="0.25">
      <c r="A241" s="4">
        <v>239</v>
      </c>
      <c r="B241" s="14" t="s">
        <v>430</v>
      </c>
      <c r="C241" s="3" t="s">
        <v>428</v>
      </c>
      <c r="D241" s="5"/>
      <c r="E241" s="3" t="s">
        <v>429</v>
      </c>
      <c r="F241" s="5" t="s">
        <v>3</v>
      </c>
      <c r="G241" s="5" t="s">
        <v>327</v>
      </c>
      <c r="H241" s="5"/>
      <c r="I241" s="3" t="s">
        <v>6</v>
      </c>
      <c r="J241" s="3" t="s">
        <v>37</v>
      </c>
      <c r="K241" s="5">
        <v>500</v>
      </c>
      <c r="L241" s="6"/>
      <c r="M241" s="86">
        <v>8595924215</v>
      </c>
      <c r="N241" s="5">
        <v>67</v>
      </c>
      <c r="O241" s="6">
        <v>67</v>
      </c>
      <c r="P241" s="7">
        <f t="shared" si="6"/>
        <v>-433</v>
      </c>
      <c r="Q241" s="78"/>
      <c r="R241" s="79"/>
      <c r="S241" s="79"/>
    </row>
    <row r="242" spans="1:19" ht="24" x14ac:dyDescent="0.25">
      <c r="A242" s="4">
        <v>240</v>
      </c>
      <c r="B242" s="14">
        <v>6010</v>
      </c>
      <c r="C242" s="3" t="s">
        <v>9</v>
      </c>
      <c r="D242" s="5"/>
      <c r="E242" s="3" t="s">
        <v>404</v>
      </c>
      <c r="F242" s="5" t="s">
        <v>3</v>
      </c>
      <c r="G242" s="20" t="s">
        <v>376</v>
      </c>
      <c r="H242" s="9" t="s">
        <v>5</v>
      </c>
      <c r="I242" s="10" t="s">
        <v>6</v>
      </c>
      <c r="J242" s="3" t="s">
        <v>37</v>
      </c>
      <c r="K242" s="5">
        <v>500</v>
      </c>
      <c r="L242" s="6"/>
      <c r="M242" s="86">
        <v>8595924221</v>
      </c>
      <c r="N242" s="5">
        <v>99</v>
      </c>
      <c r="O242" s="6">
        <f t="shared" si="7"/>
        <v>99</v>
      </c>
      <c r="P242" s="110">
        <f>O242-K242</f>
        <v>-401</v>
      </c>
      <c r="Q242" s="78"/>
      <c r="R242" s="79"/>
      <c r="S242" s="79"/>
    </row>
    <row r="243" spans="1:19" x14ac:dyDescent="0.25">
      <c r="A243" s="4">
        <v>241</v>
      </c>
      <c r="B243" s="14">
        <v>6323</v>
      </c>
      <c r="C243" s="3" t="s">
        <v>262</v>
      </c>
      <c r="D243" s="5"/>
      <c r="E243" s="3" t="s">
        <v>343</v>
      </c>
      <c r="F243" s="5" t="s">
        <v>412</v>
      </c>
      <c r="G243" s="5" t="s">
        <v>283</v>
      </c>
      <c r="H243" s="5"/>
      <c r="I243" s="3"/>
      <c r="J243" s="3"/>
      <c r="K243" s="5">
        <v>3000</v>
      </c>
      <c r="L243" s="6"/>
      <c r="M243" s="86">
        <v>8595924276</v>
      </c>
      <c r="N243" s="5">
        <v>125</v>
      </c>
      <c r="O243" s="6">
        <f>L243+N243</f>
        <v>125</v>
      </c>
      <c r="P243" s="7">
        <f t="shared" si="6"/>
        <v>-2875</v>
      </c>
      <c r="Q243" s="78"/>
      <c r="R243" s="79"/>
      <c r="S243" s="79"/>
    </row>
    <row r="244" spans="1:19" ht="24" x14ac:dyDescent="0.25">
      <c r="A244" s="4">
        <v>242</v>
      </c>
      <c r="B244" s="14">
        <v>5299</v>
      </c>
      <c r="C244" s="3" t="s">
        <v>264</v>
      </c>
      <c r="D244" s="5"/>
      <c r="E244" s="3" t="s">
        <v>404</v>
      </c>
      <c r="F244" s="5" t="s">
        <v>3</v>
      </c>
      <c r="G244" s="20" t="s">
        <v>376</v>
      </c>
      <c r="H244" s="9" t="s">
        <v>5</v>
      </c>
      <c r="I244" s="10" t="s">
        <v>6</v>
      </c>
      <c r="J244" s="3" t="s">
        <v>37</v>
      </c>
      <c r="K244" s="5">
        <v>500</v>
      </c>
      <c r="L244" s="6"/>
      <c r="M244" s="86">
        <v>8595924277</v>
      </c>
      <c r="N244" s="5">
        <v>99</v>
      </c>
      <c r="O244" s="6">
        <f>L244+N244</f>
        <v>99</v>
      </c>
      <c r="P244" s="7">
        <f t="shared" si="6"/>
        <v>-401</v>
      </c>
      <c r="Q244" s="78"/>
      <c r="R244" s="79"/>
      <c r="S244" s="79"/>
    </row>
    <row r="245" spans="1:19" ht="24" x14ac:dyDescent="0.25">
      <c r="A245" s="4">
        <v>243</v>
      </c>
      <c r="B245" s="14">
        <v>5878</v>
      </c>
      <c r="C245" s="3" t="s">
        <v>265</v>
      </c>
      <c r="D245" s="5"/>
      <c r="E245" s="3" t="s">
        <v>92</v>
      </c>
      <c r="F245" s="5" t="s">
        <v>3</v>
      </c>
      <c r="G245" s="20" t="s">
        <v>184</v>
      </c>
      <c r="H245" s="9" t="s">
        <v>5</v>
      </c>
      <c r="I245" s="10" t="s">
        <v>6</v>
      </c>
      <c r="J245" s="3" t="s">
        <v>37</v>
      </c>
      <c r="K245" s="5">
        <v>500</v>
      </c>
      <c r="L245" s="6"/>
      <c r="M245" s="86">
        <v>8595924278</v>
      </c>
      <c r="N245" s="5">
        <v>67</v>
      </c>
      <c r="O245" s="6">
        <f>L245+N245</f>
        <v>67</v>
      </c>
      <c r="P245" s="7">
        <f t="shared" si="6"/>
        <v>-433</v>
      </c>
      <c r="Q245" s="78"/>
      <c r="R245" s="79"/>
      <c r="S245" s="79"/>
    </row>
    <row r="246" spans="1:19" ht="24" x14ac:dyDescent="0.25">
      <c r="A246" s="4">
        <v>244</v>
      </c>
      <c r="B246" s="97">
        <v>2614</v>
      </c>
      <c r="C246" s="93" t="s">
        <v>411</v>
      </c>
      <c r="D246" s="5"/>
      <c r="E246" s="93" t="s">
        <v>267</v>
      </c>
      <c r="F246" s="92" t="s">
        <v>3</v>
      </c>
      <c r="G246" s="98" t="s">
        <v>268</v>
      </c>
      <c r="H246" s="92" t="s">
        <v>5</v>
      </c>
      <c r="I246" s="93" t="s">
        <v>6</v>
      </c>
      <c r="J246" s="93" t="s">
        <v>7</v>
      </c>
      <c r="K246" s="92">
        <v>3000</v>
      </c>
      <c r="L246" s="94"/>
      <c r="M246" s="86">
        <v>7701974800</v>
      </c>
      <c r="N246" s="92">
        <v>0</v>
      </c>
      <c r="O246" s="94">
        <v>0</v>
      </c>
      <c r="P246" s="95">
        <f t="shared" si="6"/>
        <v>-3000</v>
      </c>
      <c r="Q246" s="78"/>
      <c r="R246" s="79"/>
      <c r="S246" s="79"/>
    </row>
    <row r="247" spans="1:19" x14ac:dyDescent="0.25">
      <c r="A247" s="4">
        <v>245</v>
      </c>
      <c r="B247" s="14" t="s">
        <v>325</v>
      </c>
      <c r="C247" s="3" t="s">
        <v>449</v>
      </c>
      <c r="D247" s="5"/>
      <c r="E247" s="3" t="s">
        <v>71</v>
      </c>
      <c r="F247" s="5" t="s">
        <v>26</v>
      </c>
      <c r="G247" s="20" t="s">
        <v>71</v>
      </c>
      <c r="H247" s="5" t="s">
        <v>5</v>
      </c>
      <c r="I247" s="3" t="s">
        <v>6</v>
      </c>
      <c r="J247" s="3" t="s">
        <v>26</v>
      </c>
      <c r="K247" s="5">
        <v>500</v>
      </c>
      <c r="L247" s="6"/>
      <c r="M247" s="86">
        <v>8287930634</v>
      </c>
      <c r="N247" s="5">
        <v>67</v>
      </c>
      <c r="O247" s="6">
        <v>67</v>
      </c>
      <c r="P247" s="7">
        <f t="shared" si="6"/>
        <v>-433</v>
      </c>
      <c r="Q247" s="78"/>
      <c r="R247" s="79"/>
      <c r="S247" s="79"/>
    </row>
    <row r="248" spans="1:19" x14ac:dyDescent="0.25">
      <c r="A248" s="4">
        <v>246</v>
      </c>
      <c r="B248" s="22">
        <v>6539</v>
      </c>
      <c r="C248" s="3" t="s">
        <v>269</v>
      </c>
      <c r="D248" s="3"/>
      <c r="E248" s="3" t="s">
        <v>92</v>
      </c>
      <c r="F248" s="10" t="s">
        <v>3</v>
      </c>
      <c r="G248" s="2" t="s">
        <v>16</v>
      </c>
      <c r="H248" s="10" t="s">
        <v>5</v>
      </c>
      <c r="I248" s="10" t="s">
        <v>6</v>
      </c>
      <c r="J248" s="3" t="s">
        <v>84</v>
      </c>
      <c r="K248" s="3">
        <v>500</v>
      </c>
      <c r="L248" s="6"/>
      <c r="M248" s="85">
        <v>7827904400</v>
      </c>
      <c r="N248" s="5">
        <v>67</v>
      </c>
      <c r="O248" s="5">
        <v>67</v>
      </c>
      <c r="P248" s="7"/>
      <c r="Q248" s="78"/>
      <c r="R248" s="79"/>
      <c r="S248" s="79"/>
    </row>
    <row r="249" spans="1:19" x14ac:dyDescent="0.25">
      <c r="A249" s="4">
        <v>247</v>
      </c>
      <c r="B249" s="22">
        <v>5866</v>
      </c>
      <c r="C249" s="3" t="s">
        <v>270</v>
      </c>
      <c r="D249" s="3"/>
      <c r="E249" s="3" t="s">
        <v>92</v>
      </c>
      <c r="F249" s="10" t="s">
        <v>3</v>
      </c>
      <c r="G249" s="2" t="s">
        <v>16</v>
      </c>
      <c r="H249" s="10" t="s">
        <v>5</v>
      </c>
      <c r="I249" s="10" t="s">
        <v>6</v>
      </c>
      <c r="J249" s="3" t="s">
        <v>24</v>
      </c>
      <c r="K249" s="3">
        <v>500</v>
      </c>
      <c r="L249" s="6"/>
      <c r="M249" s="129">
        <v>7827940066</v>
      </c>
      <c r="N249" s="5">
        <v>67</v>
      </c>
      <c r="O249" s="5">
        <v>67</v>
      </c>
      <c r="P249" s="7"/>
      <c r="Q249" s="78"/>
      <c r="R249" s="79"/>
      <c r="S249" s="79"/>
    </row>
    <row r="250" spans="1:19" ht="24" x14ac:dyDescent="0.25">
      <c r="A250" s="4">
        <v>248</v>
      </c>
      <c r="B250" s="22">
        <v>5046</v>
      </c>
      <c r="C250" s="3" t="s">
        <v>461</v>
      </c>
      <c r="D250" s="3"/>
      <c r="E250" s="3" t="s">
        <v>44</v>
      </c>
      <c r="F250" s="10" t="s">
        <v>3</v>
      </c>
      <c r="G250" s="2" t="s">
        <v>39</v>
      </c>
      <c r="H250" s="10" t="s">
        <v>5</v>
      </c>
      <c r="I250" s="10" t="s">
        <v>6</v>
      </c>
      <c r="J250" s="3" t="s">
        <v>113</v>
      </c>
      <c r="K250" s="3">
        <v>1000</v>
      </c>
      <c r="L250" s="6"/>
      <c r="M250" s="129">
        <v>7827945522</v>
      </c>
      <c r="N250" s="5">
        <v>99</v>
      </c>
      <c r="O250" s="5">
        <v>99</v>
      </c>
      <c r="P250" s="7"/>
      <c r="Q250" s="78"/>
      <c r="R250" s="79"/>
      <c r="S250" s="79"/>
    </row>
    <row r="251" spans="1:19" x14ac:dyDescent="0.25">
      <c r="A251" s="4">
        <v>249</v>
      </c>
      <c r="B251" s="22">
        <v>6120</v>
      </c>
      <c r="C251" s="3" t="s">
        <v>271</v>
      </c>
      <c r="D251" s="3"/>
      <c r="E251" s="3" t="s">
        <v>92</v>
      </c>
      <c r="F251" s="10" t="s">
        <v>3</v>
      </c>
      <c r="G251" s="2" t="s">
        <v>16</v>
      </c>
      <c r="H251" s="10" t="s">
        <v>5</v>
      </c>
      <c r="I251" s="10" t="s">
        <v>6</v>
      </c>
      <c r="J251" s="3" t="s">
        <v>24</v>
      </c>
      <c r="K251" s="3">
        <v>500</v>
      </c>
      <c r="L251" s="6"/>
      <c r="M251" s="129">
        <v>7827968789</v>
      </c>
      <c r="N251" s="5">
        <v>67</v>
      </c>
      <c r="O251" s="5">
        <v>67</v>
      </c>
      <c r="P251" s="7"/>
      <c r="Q251" s="78"/>
      <c r="R251" s="79"/>
      <c r="S251" s="79"/>
    </row>
    <row r="252" spans="1:19" x14ac:dyDescent="0.25">
      <c r="A252" s="4">
        <v>250</v>
      </c>
      <c r="B252" s="22">
        <v>5860</v>
      </c>
      <c r="C252" s="3" t="s">
        <v>272</v>
      </c>
      <c r="D252" s="3"/>
      <c r="E252" s="3" t="s">
        <v>92</v>
      </c>
      <c r="F252" s="10" t="s">
        <v>3</v>
      </c>
      <c r="G252" s="2" t="s">
        <v>16</v>
      </c>
      <c r="H252" s="10" t="s">
        <v>5</v>
      </c>
      <c r="I252" s="10" t="s">
        <v>6</v>
      </c>
      <c r="J252" s="3" t="s">
        <v>24</v>
      </c>
      <c r="K252" s="3">
        <v>500</v>
      </c>
      <c r="L252" s="6"/>
      <c r="M252" s="129">
        <v>7827968791</v>
      </c>
      <c r="N252" s="5">
        <v>67</v>
      </c>
      <c r="O252" s="5">
        <v>67</v>
      </c>
      <c r="P252" s="7"/>
      <c r="Q252" s="78"/>
      <c r="R252" s="79"/>
      <c r="S252" s="79"/>
    </row>
    <row r="253" spans="1:19" x14ac:dyDescent="0.25">
      <c r="A253" s="4">
        <v>251</v>
      </c>
      <c r="B253" s="22">
        <v>5508</v>
      </c>
      <c r="C253" s="3" t="s">
        <v>273</v>
      </c>
      <c r="D253" s="3"/>
      <c r="E253" s="3" t="s">
        <v>92</v>
      </c>
      <c r="F253" s="10" t="s">
        <v>3</v>
      </c>
      <c r="G253" s="2" t="s">
        <v>16</v>
      </c>
      <c r="H253" s="10" t="s">
        <v>5</v>
      </c>
      <c r="I253" s="10" t="s">
        <v>6</v>
      </c>
      <c r="J253" s="3" t="s">
        <v>24</v>
      </c>
      <c r="K253" s="3">
        <v>500</v>
      </c>
      <c r="L253" s="6"/>
      <c r="M253" s="129">
        <v>7827969065</v>
      </c>
      <c r="N253" s="5">
        <v>67</v>
      </c>
      <c r="O253" s="5">
        <v>67</v>
      </c>
      <c r="P253" s="7"/>
      <c r="Q253" s="78"/>
      <c r="R253" s="79"/>
    </row>
    <row r="254" spans="1:19" x14ac:dyDescent="0.25">
      <c r="A254" s="4">
        <v>252</v>
      </c>
      <c r="B254" s="22">
        <v>5390</v>
      </c>
      <c r="C254" s="3" t="s">
        <v>274</v>
      </c>
      <c r="D254" s="3"/>
      <c r="E254" s="3" t="s">
        <v>92</v>
      </c>
      <c r="F254" s="10" t="s">
        <v>3</v>
      </c>
      <c r="G254" s="2" t="s">
        <v>16</v>
      </c>
      <c r="H254" s="10" t="s">
        <v>5</v>
      </c>
      <c r="I254" s="10" t="s">
        <v>6</v>
      </c>
      <c r="J254" s="3" t="s">
        <v>24</v>
      </c>
      <c r="K254" s="3">
        <v>500</v>
      </c>
      <c r="L254" s="6"/>
      <c r="M254" s="129">
        <v>7827969068</v>
      </c>
      <c r="N254" s="5">
        <v>67</v>
      </c>
      <c r="O254" s="5">
        <v>67</v>
      </c>
      <c r="P254" s="7"/>
      <c r="Q254" s="78"/>
      <c r="R254" s="79"/>
    </row>
    <row r="255" spans="1:19" x14ac:dyDescent="0.25">
      <c r="A255" s="4">
        <v>253</v>
      </c>
      <c r="B255" s="22">
        <v>6188</v>
      </c>
      <c r="C255" s="3" t="s">
        <v>275</v>
      </c>
      <c r="D255" s="3"/>
      <c r="E255" s="3" t="s">
        <v>92</v>
      </c>
      <c r="F255" s="10" t="s">
        <v>3</v>
      </c>
      <c r="G255" s="2" t="s">
        <v>16</v>
      </c>
      <c r="H255" s="10" t="s">
        <v>5</v>
      </c>
      <c r="I255" s="10" t="s">
        <v>6</v>
      </c>
      <c r="J255" s="3" t="s">
        <v>24</v>
      </c>
      <c r="K255" s="3">
        <v>500</v>
      </c>
      <c r="L255" s="6"/>
      <c r="M255" s="129">
        <v>7827969072</v>
      </c>
      <c r="N255" s="5">
        <v>67</v>
      </c>
      <c r="O255" s="5">
        <v>67</v>
      </c>
      <c r="P255" s="7"/>
      <c r="Q255" s="78"/>
      <c r="R255" s="79"/>
    </row>
    <row r="256" spans="1:19" x14ac:dyDescent="0.25">
      <c r="A256" s="4">
        <v>254</v>
      </c>
      <c r="B256" s="22">
        <v>6673</v>
      </c>
      <c r="C256" s="3" t="s">
        <v>276</v>
      </c>
      <c r="D256" s="3"/>
      <c r="E256" s="3" t="s">
        <v>92</v>
      </c>
      <c r="F256" s="10" t="s">
        <v>3</v>
      </c>
      <c r="G256" s="2" t="s">
        <v>16</v>
      </c>
      <c r="H256" s="10" t="s">
        <v>5</v>
      </c>
      <c r="I256" s="10" t="s">
        <v>6</v>
      </c>
      <c r="J256" s="3" t="s">
        <v>24</v>
      </c>
      <c r="K256" s="3">
        <v>500</v>
      </c>
      <c r="L256" s="6"/>
      <c r="M256" s="129">
        <v>7827969076</v>
      </c>
      <c r="N256" s="5">
        <v>67</v>
      </c>
      <c r="O256" s="5">
        <v>67</v>
      </c>
      <c r="P256" s="7"/>
      <c r="Q256" s="78"/>
      <c r="R256" s="79"/>
    </row>
    <row r="257" spans="1:18" x14ac:dyDescent="0.25">
      <c r="A257" s="4">
        <v>255</v>
      </c>
      <c r="B257" s="65" t="s">
        <v>325</v>
      </c>
      <c r="C257" s="133" t="s">
        <v>462</v>
      </c>
      <c r="D257" s="103"/>
      <c r="E257" s="3" t="s">
        <v>71</v>
      </c>
      <c r="F257" s="10" t="s">
        <v>38</v>
      </c>
      <c r="G257" s="2" t="s">
        <v>71</v>
      </c>
      <c r="H257" s="10" t="s">
        <v>5</v>
      </c>
      <c r="I257" s="10" t="s">
        <v>6</v>
      </c>
      <c r="J257" s="3" t="s">
        <v>77</v>
      </c>
      <c r="K257" s="3">
        <v>500</v>
      </c>
      <c r="L257" s="6"/>
      <c r="M257" s="129">
        <v>7827969293</v>
      </c>
      <c r="N257" s="5">
        <v>67</v>
      </c>
      <c r="O257" s="6">
        <f>L257+N257</f>
        <v>67</v>
      </c>
      <c r="P257" s="7"/>
      <c r="Q257" s="78"/>
      <c r="R257" s="79"/>
    </row>
    <row r="258" spans="1:18" ht="24" x14ac:dyDescent="0.25">
      <c r="A258" s="4">
        <v>256</v>
      </c>
      <c r="B258" s="27">
        <v>4857</v>
      </c>
      <c r="C258" s="28" t="s">
        <v>277</v>
      </c>
      <c r="D258" s="29"/>
      <c r="E258" s="3" t="s">
        <v>92</v>
      </c>
      <c r="F258" s="10" t="s">
        <v>3</v>
      </c>
      <c r="G258" s="2" t="s">
        <v>16</v>
      </c>
      <c r="H258" s="10" t="s">
        <v>5</v>
      </c>
      <c r="I258" s="10" t="s">
        <v>6</v>
      </c>
      <c r="J258" s="3" t="s">
        <v>37</v>
      </c>
      <c r="K258" s="3">
        <v>500</v>
      </c>
      <c r="L258" s="6"/>
      <c r="M258" s="129">
        <v>7982200869</v>
      </c>
      <c r="N258" s="5">
        <v>67</v>
      </c>
      <c r="O258" s="109">
        <v>67</v>
      </c>
      <c r="P258" s="7"/>
      <c r="Q258" s="78"/>
      <c r="R258" s="79"/>
    </row>
    <row r="259" spans="1:18" ht="24" x14ac:dyDescent="0.25">
      <c r="A259" s="4">
        <v>257</v>
      </c>
      <c r="B259" s="27">
        <v>6020</v>
      </c>
      <c r="C259" s="28" t="s">
        <v>278</v>
      </c>
      <c r="D259" s="29"/>
      <c r="E259" s="3" t="s">
        <v>92</v>
      </c>
      <c r="F259" s="10" t="s">
        <v>3</v>
      </c>
      <c r="G259" s="2" t="s">
        <v>16</v>
      </c>
      <c r="H259" s="10" t="s">
        <v>5</v>
      </c>
      <c r="I259" s="10" t="s">
        <v>6</v>
      </c>
      <c r="J259" s="3" t="s">
        <v>37</v>
      </c>
      <c r="K259" s="3">
        <v>500</v>
      </c>
      <c r="L259" s="6"/>
      <c r="M259" s="129">
        <v>7827969318</v>
      </c>
      <c r="N259" s="5">
        <v>67</v>
      </c>
      <c r="O259" s="5">
        <v>67</v>
      </c>
      <c r="P259" s="7"/>
      <c r="Q259" s="78"/>
      <c r="R259" s="79"/>
    </row>
    <row r="260" spans="1:18" ht="24" x14ac:dyDescent="0.25">
      <c r="A260" s="4">
        <v>258</v>
      </c>
      <c r="B260" s="27">
        <v>4455</v>
      </c>
      <c r="C260" s="28" t="s">
        <v>279</v>
      </c>
      <c r="D260" s="29"/>
      <c r="E260" s="3" t="s">
        <v>92</v>
      </c>
      <c r="F260" s="10" t="s">
        <v>3</v>
      </c>
      <c r="G260" s="2" t="s">
        <v>16</v>
      </c>
      <c r="H260" s="10" t="s">
        <v>5</v>
      </c>
      <c r="I260" s="10" t="s">
        <v>6</v>
      </c>
      <c r="J260" s="3" t="s">
        <v>37</v>
      </c>
      <c r="K260" s="3">
        <v>500</v>
      </c>
      <c r="L260" s="6"/>
      <c r="M260" s="129">
        <v>7827969326</v>
      </c>
      <c r="N260" s="5">
        <v>67</v>
      </c>
      <c r="O260" s="5">
        <v>67</v>
      </c>
      <c r="P260" s="7"/>
      <c r="Q260" s="78"/>
      <c r="R260" s="79"/>
    </row>
    <row r="261" spans="1:18" x14ac:dyDescent="0.25">
      <c r="A261" s="4">
        <v>259</v>
      </c>
      <c r="B261" s="27">
        <v>6010</v>
      </c>
      <c r="C261" s="28" t="s">
        <v>280</v>
      </c>
      <c r="D261" s="29"/>
      <c r="E261" s="3" t="s">
        <v>92</v>
      </c>
      <c r="F261" s="10" t="s">
        <v>3</v>
      </c>
      <c r="G261" s="2" t="s">
        <v>16</v>
      </c>
      <c r="H261" s="10" t="s">
        <v>5</v>
      </c>
      <c r="I261" s="10" t="s">
        <v>6</v>
      </c>
      <c r="J261" s="3" t="s">
        <v>24</v>
      </c>
      <c r="K261" s="3">
        <v>500</v>
      </c>
      <c r="L261" s="6"/>
      <c r="M261" s="129">
        <v>7982200906</v>
      </c>
      <c r="N261" s="5">
        <v>67</v>
      </c>
      <c r="O261" s="5">
        <v>67</v>
      </c>
      <c r="P261" s="7"/>
      <c r="Q261" s="78"/>
      <c r="R261" s="79"/>
    </row>
    <row r="262" spans="1:18" x14ac:dyDescent="0.25">
      <c r="A262" s="4">
        <v>260</v>
      </c>
      <c r="B262" s="27" t="s">
        <v>431</v>
      </c>
      <c r="C262" s="28" t="s">
        <v>428</v>
      </c>
      <c r="D262" s="29"/>
      <c r="E262" s="3" t="s">
        <v>429</v>
      </c>
      <c r="F262" s="10" t="s">
        <v>3</v>
      </c>
      <c r="G262" s="2" t="s">
        <v>327</v>
      </c>
      <c r="H262" s="10" t="s">
        <v>5</v>
      </c>
      <c r="I262" s="10" t="s">
        <v>6</v>
      </c>
      <c r="J262" s="3" t="s">
        <v>24</v>
      </c>
      <c r="K262" s="3">
        <v>500</v>
      </c>
      <c r="L262" s="6"/>
      <c r="M262" s="129">
        <v>7827969533</v>
      </c>
      <c r="N262" s="5">
        <v>67</v>
      </c>
      <c r="O262" s="5">
        <v>67</v>
      </c>
      <c r="P262" s="7"/>
      <c r="Q262" s="78"/>
      <c r="R262" s="79"/>
    </row>
    <row r="263" spans="1:18" x14ac:dyDescent="0.25">
      <c r="A263" s="4">
        <v>261</v>
      </c>
      <c r="B263" s="27">
        <v>1280</v>
      </c>
      <c r="C263" s="28" t="s">
        <v>281</v>
      </c>
      <c r="D263" s="29"/>
      <c r="E263" s="3" t="s">
        <v>92</v>
      </c>
      <c r="F263" s="10" t="s">
        <v>3</v>
      </c>
      <c r="G263" s="2" t="s">
        <v>16</v>
      </c>
      <c r="H263" s="10" t="s">
        <v>5</v>
      </c>
      <c r="I263" s="10" t="s">
        <v>6</v>
      </c>
      <c r="J263" s="3" t="s">
        <v>84</v>
      </c>
      <c r="K263" s="3">
        <v>500</v>
      </c>
      <c r="L263" s="6"/>
      <c r="M263" s="129">
        <v>7827969534</v>
      </c>
      <c r="N263" s="5">
        <v>67</v>
      </c>
      <c r="O263" s="5">
        <v>67</v>
      </c>
      <c r="P263" s="7"/>
      <c r="Q263" s="78"/>
      <c r="R263" s="79"/>
    </row>
    <row r="264" spans="1:18" x14ac:dyDescent="0.25">
      <c r="A264" s="4">
        <v>262</v>
      </c>
      <c r="B264" s="30">
        <v>6478</v>
      </c>
      <c r="C264" s="31" t="s">
        <v>282</v>
      </c>
      <c r="D264" s="32"/>
      <c r="E264" s="3" t="s">
        <v>92</v>
      </c>
      <c r="F264" s="10" t="s">
        <v>3</v>
      </c>
      <c r="G264" s="2" t="s">
        <v>16</v>
      </c>
      <c r="H264" s="10" t="s">
        <v>5</v>
      </c>
      <c r="I264" s="10" t="s">
        <v>6</v>
      </c>
      <c r="J264" s="3" t="s">
        <v>84</v>
      </c>
      <c r="K264" s="3">
        <v>500</v>
      </c>
      <c r="L264" s="6"/>
      <c r="M264" s="129">
        <v>7827969805</v>
      </c>
      <c r="N264" s="5">
        <v>67</v>
      </c>
      <c r="O264" s="5">
        <v>67</v>
      </c>
      <c r="P264" s="7"/>
      <c r="Q264" s="78"/>
      <c r="R264" s="79"/>
    </row>
    <row r="265" spans="1:18" ht="33" customHeight="1" x14ac:dyDescent="0.25">
      <c r="A265" s="4">
        <v>263</v>
      </c>
      <c r="B265" s="3" t="s">
        <v>325</v>
      </c>
      <c r="C265" s="33" t="s">
        <v>324</v>
      </c>
      <c r="D265" s="32"/>
      <c r="E265" s="3" t="s">
        <v>71</v>
      </c>
      <c r="F265" s="10" t="s">
        <v>3</v>
      </c>
      <c r="G265" s="2">
        <v>0</v>
      </c>
      <c r="H265" s="10"/>
      <c r="I265" s="10" t="s">
        <v>6</v>
      </c>
      <c r="J265" s="3" t="s">
        <v>284</v>
      </c>
      <c r="K265" s="3">
        <v>500</v>
      </c>
      <c r="L265" s="6"/>
      <c r="M265" s="129">
        <v>7827970014</v>
      </c>
      <c r="N265" s="5">
        <v>67</v>
      </c>
      <c r="O265" s="5">
        <v>67</v>
      </c>
      <c r="P265" s="7"/>
      <c r="Q265" s="78"/>
      <c r="R265" s="79"/>
    </row>
    <row r="266" spans="1:18" ht="36" customHeight="1" x14ac:dyDescent="0.25">
      <c r="A266" s="4">
        <v>264</v>
      </c>
      <c r="B266" s="30">
        <v>5905</v>
      </c>
      <c r="C266" s="34" t="s">
        <v>285</v>
      </c>
      <c r="D266" s="32"/>
      <c r="E266" s="3" t="s">
        <v>92</v>
      </c>
      <c r="F266" s="10" t="s">
        <v>3</v>
      </c>
      <c r="G266" s="2" t="s">
        <v>16</v>
      </c>
      <c r="H266" s="10" t="s">
        <v>5</v>
      </c>
      <c r="I266" s="10" t="s">
        <v>6</v>
      </c>
      <c r="J266" s="3" t="s">
        <v>148</v>
      </c>
      <c r="K266" s="3">
        <v>500</v>
      </c>
      <c r="L266" s="6"/>
      <c r="M266" s="129">
        <v>7827970027</v>
      </c>
      <c r="N266" s="5">
        <v>67</v>
      </c>
      <c r="O266" s="5">
        <v>67</v>
      </c>
      <c r="P266" s="7"/>
      <c r="Q266" s="78"/>
      <c r="R266" s="79"/>
    </row>
    <row r="267" spans="1:18" x14ac:dyDescent="0.25">
      <c r="A267" s="4">
        <v>265</v>
      </c>
      <c r="B267" s="30">
        <v>6233</v>
      </c>
      <c r="C267" s="31" t="s">
        <v>286</v>
      </c>
      <c r="D267" s="32"/>
      <c r="E267" s="3" t="s">
        <v>92</v>
      </c>
      <c r="F267" s="10" t="s">
        <v>3</v>
      </c>
      <c r="G267" s="2" t="s">
        <v>16</v>
      </c>
      <c r="H267" s="10" t="s">
        <v>5</v>
      </c>
      <c r="I267" s="10" t="s">
        <v>6</v>
      </c>
      <c r="J267" s="3" t="s">
        <v>84</v>
      </c>
      <c r="K267" s="3">
        <v>500</v>
      </c>
      <c r="L267" s="6"/>
      <c r="M267" s="129">
        <v>7827970019</v>
      </c>
      <c r="N267" s="5">
        <v>67</v>
      </c>
      <c r="O267" s="5">
        <v>67</v>
      </c>
      <c r="P267" s="7"/>
      <c r="Q267" s="78"/>
      <c r="R267" s="79"/>
    </row>
    <row r="268" spans="1:18" x14ac:dyDescent="0.25">
      <c r="A268" s="4">
        <v>266</v>
      </c>
      <c r="B268" s="30">
        <v>5305</v>
      </c>
      <c r="C268" s="31" t="s">
        <v>287</v>
      </c>
      <c r="D268" s="32"/>
      <c r="E268" s="3" t="s">
        <v>92</v>
      </c>
      <c r="F268" s="10" t="s">
        <v>3</v>
      </c>
      <c r="G268" s="2" t="s">
        <v>16</v>
      </c>
      <c r="H268" s="10" t="s">
        <v>5</v>
      </c>
      <c r="I268" s="10" t="s">
        <v>6</v>
      </c>
      <c r="J268" s="3" t="s">
        <v>24</v>
      </c>
      <c r="K268" s="3">
        <v>500</v>
      </c>
      <c r="L268" s="6"/>
      <c r="M268" s="129">
        <v>8368616969</v>
      </c>
      <c r="N268" s="5">
        <v>67</v>
      </c>
      <c r="O268" s="5">
        <v>67</v>
      </c>
      <c r="P268" s="7"/>
      <c r="Q268" s="78"/>
      <c r="R268" s="79"/>
    </row>
    <row r="269" spans="1:18" x14ac:dyDescent="0.25">
      <c r="A269" s="4">
        <v>267</v>
      </c>
      <c r="B269" s="27">
        <v>5859</v>
      </c>
      <c r="C269" s="28" t="s">
        <v>288</v>
      </c>
      <c r="D269" s="29"/>
      <c r="E269" s="3" t="s">
        <v>92</v>
      </c>
      <c r="F269" s="10" t="s">
        <v>3</v>
      </c>
      <c r="G269" s="2" t="s">
        <v>16</v>
      </c>
      <c r="H269" s="10" t="s">
        <v>5</v>
      </c>
      <c r="I269" s="10" t="s">
        <v>6</v>
      </c>
      <c r="J269" s="3" t="s">
        <v>24</v>
      </c>
      <c r="K269" s="3">
        <v>500</v>
      </c>
      <c r="L269" s="6"/>
      <c r="M269" s="129">
        <v>9625941228</v>
      </c>
      <c r="N269" s="5">
        <v>67</v>
      </c>
      <c r="O269" s="5">
        <v>67</v>
      </c>
      <c r="P269" s="7"/>
      <c r="Q269" s="78"/>
      <c r="R269" s="79"/>
    </row>
    <row r="270" spans="1:18" x14ac:dyDescent="0.25">
      <c r="A270" s="4">
        <v>268</v>
      </c>
      <c r="B270" s="27">
        <v>19</v>
      </c>
      <c r="C270" s="28" t="s">
        <v>289</v>
      </c>
      <c r="D270" s="29"/>
      <c r="E270" s="3" t="s">
        <v>92</v>
      </c>
      <c r="F270" s="10" t="s">
        <v>3</v>
      </c>
      <c r="G270" s="2" t="s">
        <v>16</v>
      </c>
      <c r="H270" s="10" t="s">
        <v>5</v>
      </c>
      <c r="I270" s="10" t="s">
        <v>6</v>
      </c>
      <c r="J270" s="3" t="s">
        <v>24</v>
      </c>
      <c r="K270" s="3">
        <v>500</v>
      </c>
      <c r="L270" s="6"/>
      <c r="M270" s="130">
        <v>9625941225</v>
      </c>
      <c r="N270" s="5">
        <v>67</v>
      </c>
      <c r="O270" s="5">
        <v>67</v>
      </c>
      <c r="P270" s="7"/>
      <c r="Q270" s="78"/>
      <c r="R270" s="79"/>
    </row>
    <row r="271" spans="1:18" x14ac:dyDescent="0.25">
      <c r="A271" s="4">
        <v>269</v>
      </c>
      <c r="B271" s="3">
        <v>5391</v>
      </c>
      <c r="C271" s="3" t="s">
        <v>290</v>
      </c>
      <c r="D271" s="5"/>
      <c r="E271" s="3" t="s">
        <v>92</v>
      </c>
      <c r="F271" s="10" t="s">
        <v>3</v>
      </c>
      <c r="G271" s="2" t="s">
        <v>16</v>
      </c>
      <c r="H271" s="10" t="s">
        <v>5</v>
      </c>
      <c r="I271" s="10" t="s">
        <v>6</v>
      </c>
      <c r="J271" s="3" t="s">
        <v>24</v>
      </c>
      <c r="K271" s="3">
        <v>500</v>
      </c>
      <c r="L271" s="6"/>
      <c r="M271" s="129">
        <v>9625941227</v>
      </c>
      <c r="N271" s="5">
        <v>67</v>
      </c>
      <c r="O271" s="5">
        <v>67</v>
      </c>
      <c r="P271" s="7"/>
      <c r="Q271" s="78"/>
      <c r="R271" s="79"/>
    </row>
    <row r="272" spans="1:18" ht="24" x14ac:dyDescent="0.25">
      <c r="A272" s="4">
        <v>270</v>
      </c>
      <c r="B272" s="3">
        <v>5868</v>
      </c>
      <c r="C272" s="3" t="s">
        <v>375</v>
      </c>
      <c r="D272" s="5"/>
      <c r="E272" s="3" t="s">
        <v>404</v>
      </c>
      <c r="F272" s="3" t="s">
        <v>3</v>
      </c>
      <c r="G272" s="2" t="s">
        <v>376</v>
      </c>
      <c r="H272" s="3" t="s">
        <v>5</v>
      </c>
      <c r="I272" s="3" t="s">
        <v>6</v>
      </c>
      <c r="J272" s="3" t="s">
        <v>24</v>
      </c>
      <c r="K272" s="3">
        <v>1000</v>
      </c>
      <c r="L272" s="6"/>
      <c r="M272" s="129">
        <v>9310697096</v>
      </c>
      <c r="N272" s="5">
        <v>0</v>
      </c>
      <c r="O272" s="6">
        <f>L272+N272</f>
        <v>0</v>
      </c>
      <c r="P272" s="7"/>
      <c r="Q272" s="78"/>
      <c r="R272" s="79"/>
    </row>
    <row r="273" spans="1:18" x14ac:dyDescent="0.25">
      <c r="A273" s="4">
        <v>271</v>
      </c>
      <c r="B273" s="27">
        <v>4758</v>
      </c>
      <c r="C273" s="28" t="s">
        <v>455</v>
      </c>
      <c r="D273" s="29"/>
      <c r="E273" s="3" t="s">
        <v>267</v>
      </c>
      <c r="F273" s="10" t="s">
        <v>26</v>
      </c>
      <c r="G273" s="2" t="s">
        <v>268</v>
      </c>
      <c r="H273" s="10" t="s">
        <v>5</v>
      </c>
      <c r="I273" s="10" t="s">
        <v>6</v>
      </c>
      <c r="J273" s="3" t="s">
        <v>26</v>
      </c>
      <c r="K273" s="3">
        <v>3000</v>
      </c>
      <c r="L273" s="35"/>
      <c r="M273" s="129">
        <v>8368616981</v>
      </c>
      <c r="N273" s="5">
        <v>99</v>
      </c>
      <c r="O273" s="6">
        <f>L273+N273</f>
        <v>99</v>
      </c>
      <c r="P273" s="7"/>
      <c r="Q273" s="78"/>
      <c r="R273" s="79"/>
    </row>
    <row r="274" spans="1:18" x14ac:dyDescent="0.25">
      <c r="A274" s="4">
        <v>272</v>
      </c>
      <c r="B274" s="27"/>
      <c r="C274" s="28" t="s">
        <v>336</v>
      </c>
      <c r="D274" s="29"/>
      <c r="E274" s="3" t="s">
        <v>337</v>
      </c>
      <c r="F274" s="10" t="s">
        <v>42</v>
      </c>
      <c r="G274" s="2" t="s">
        <v>202</v>
      </c>
      <c r="H274" s="10" t="s">
        <v>5</v>
      </c>
      <c r="I274" s="10" t="s">
        <v>6</v>
      </c>
      <c r="J274" s="3" t="s">
        <v>240</v>
      </c>
      <c r="K274" s="3">
        <v>4000</v>
      </c>
      <c r="L274" s="35"/>
      <c r="M274" s="129">
        <v>9310711493</v>
      </c>
      <c r="N274" s="5">
        <v>125</v>
      </c>
      <c r="O274" s="6">
        <v>125</v>
      </c>
      <c r="P274" s="7"/>
      <c r="Q274" s="78"/>
      <c r="R274" s="79"/>
    </row>
    <row r="275" spans="1:18" x14ac:dyDescent="0.25">
      <c r="A275" s="4">
        <v>273</v>
      </c>
      <c r="B275" s="3">
        <v>5482</v>
      </c>
      <c r="C275" s="3" t="s">
        <v>377</v>
      </c>
      <c r="D275" s="5"/>
      <c r="E275" s="3" t="s">
        <v>144</v>
      </c>
      <c r="F275" s="3" t="s">
        <v>3</v>
      </c>
      <c r="G275" s="2" t="s">
        <v>39</v>
      </c>
      <c r="H275" s="3" t="s">
        <v>5</v>
      </c>
      <c r="I275" s="3" t="s">
        <v>6</v>
      </c>
      <c r="J275" s="3" t="s">
        <v>84</v>
      </c>
      <c r="K275" s="3">
        <v>1000</v>
      </c>
      <c r="L275" s="6"/>
      <c r="M275" s="129">
        <v>9310704584</v>
      </c>
      <c r="N275" s="5">
        <v>0</v>
      </c>
      <c r="O275" s="5">
        <v>41.52</v>
      </c>
      <c r="P275" s="7"/>
      <c r="Q275" s="78"/>
      <c r="R275" s="79"/>
    </row>
    <row r="276" spans="1:18" x14ac:dyDescent="0.25">
      <c r="A276" s="4">
        <v>274</v>
      </c>
      <c r="B276" s="3">
        <v>5041</v>
      </c>
      <c r="C276" s="3" t="s">
        <v>378</v>
      </c>
      <c r="D276" s="5"/>
      <c r="E276" s="3" t="s">
        <v>379</v>
      </c>
      <c r="F276" s="3" t="s">
        <v>3</v>
      </c>
      <c r="G276" s="2" t="s">
        <v>385</v>
      </c>
      <c r="H276" s="3" t="s">
        <v>5</v>
      </c>
      <c r="I276" s="3" t="s">
        <v>6</v>
      </c>
      <c r="J276" s="3" t="s">
        <v>148</v>
      </c>
      <c r="K276" s="3">
        <v>1000</v>
      </c>
      <c r="L276" s="6"/>
      <c r="M276" s="129">
        <v>9310708622</v>
      </c>
      <c r="N276" s="5">
        <v>99</v>
      </c>
      <c r="O276" s="5">
        <v>99</v>
      </c>
      <c r="P276" s="7"/>
      <c r="Q276" s="78"/>
      <c r="R276" s="79"/>
    </row>
    <row r="277" spans="1:18" ht="24" x14ac:dyDescent="0.25">
      <c r="A277" s="4">
        <v>275</v>
      </c>
      <c r="B277" s="3">
        <v>5431</v>
      </c>
      <c r="C277" s="3" t="s">
        <v>473</v>
      </c>
      <c r="D277" s="5"/>
      <c r="E277" s="3" t="s">
        <v>379</v>
      </c>
      <c r="F277" s="3" t="s">
        <v>3</v>
      </c>
      <c r="G277" s="2" t="s">
        <v>385</v>
      </c>
      <c r="H277" s="3" t="s">
        <v>5</v>
      </c>
      <c r="I277" s="3" t="s">
        <v>6</v>
      </c>
      <c r="J277" s="3" t="s">
        <v>148</v>
      </c>
      <c r="K277" s="3">
        <v>2000</v>
      </c>
      <c r="L277" s="6"/>
      <c r="M277" s="129">
        <v>9310697098</v>
      </c>
      <c r="N277" s="5">
        <v>99</v>
      </c>
      <c r="O277" s="5">
        <v>99</v>
      </c>
      <c r="P277" s="7"/>
      <c r="Q277" s="78"/>
      <c r="R277" s="79"/>
    </row>
    <row r="278" spans="1:18" ht="24" x14ac:dyDescent="0.25">
      <c r="A278" s="4">
        <v>276</v>
      </c>
      <c r="B278" s="27">
        <v>4731</v>
      </c>
      <c r="C278" s="28" t="s">
        <v>380</v>
      </c>
      <c r="D278" s="29"/>
      <c r="E278" s="3" t="s">
        <v>381</v>
      </c>
      <c r="F278" s="3" t="s">
        <v>26</v>
      </c>
      <c r="G278" s="2" t="s">
        <v>382</v>
      </c>
      <c r="H278" s="3" t="s">
        <v>5</v>
      </c>
      <c r="I278" s="3" t="s">
        <v>6</v>
      </c>
      <c r="J278" s="3" t="s">
        <v>26</v>
      </c>
      <c r="K278" s="3">
        <v>3000</v>
      </c>
      <c r="L278" s="35"/>
      <c r="M278" s="131">
        <v>8595909199</v>
      </c>
      <c r="N278" s="5">
        <v>99</v>
      </c>
      <c r="O278" s="6">
        <v>99</v>
      </c>
      <c r="P278" s="7"/>
      <c r="Q278" s="78"/>
      <c r="R278" s="79"/>
    </row>
    <row r="279" spans="1:18" x14ac:dyDescent="0.25">
      <c r="A279" s="4">
        <v>277</v>
      </c>
      <c r="B279" s="27">
        <v>4917</v>
      </c>
      <c r="C279" s="28" t="s">
        <v>414</v>
      </c>
      <c r="D279" s="29"/>
      <c r="E279" s="3" t="s">
        <v>379</v>
      </c>
      <c r="F279" s="3" t="s">
        <v>407</v>
      </c>
      <c r="G279" s="2" t="s">
        <v>385</v>
      </c>
      <c r="H279" s="3" t="s">
        <v>5</v>
      </c>
      <c r="I279" s="3" t="s">
        <v>6</v>
      </c>
      <c r="J279" s="3" t="s">
        <v>407</v>
      </c>
      <c r="K279" s="3">
        <v>2000</v>
      </c>
      <c r="L279" s="35"/>
      <c r="M279" s="131">
        <v>8287880066</v>
      </c>
      <c r="N279" s="5">
        <v>99</v>
      </c>
      <c r="O279" s="6">
        <v>99</v>
      </c>
      <c r="P279" s="7"/>
      <c r="Q279" s="78"/>
      <c r="R279" s="79"/>
    </row>
    <row r="280" spans="1:18" x14ac:dyDescent="0.25">
      <c r="A280" s="4">
        <v>278</v>
      </c>
      <c r="B280" s="27">
        <v>5474</v>
      </c>
      <c r="C280" s="28" t="s">
        <v>226</v>
      </c>
      <c r="D280" s="29"/>
      <c r="E280" s="3" t="s">
        <v>92</v>
      </c>
      <c r="F280" s="3" t="s">
        <v>3</v>
      </c>
      <c r="G280" s="2" t="s">
        <v>16</v>
      </c>
      <c r="H280" s="3" t="s">
        <v>5</v>
      </c>
      <c r="I280" s="3" t="s">
        <v>401</v>
      </c>
      <c r="J280" s="3" t="s">
        <v>332</v>
      </c>
      <c r="K280" s="3">
        <v>500</v>
      </c>
      <c r="L280" s="35"/>
      <c r="M280" s="131">
        <v>8287866616</v>
      </c>
      <c r="N280" s="5">
        <v>67</v>
      </c>
      <c r="O280" s="6">
        <v>67</v>
      </c>
      <c r="P280" s="7"/>
      <c r="Q280" s="78"/>
      <c r="R280" s="79"/>
    </row>
    <row r="281" spans="1:18" ht="24" x14ac:dyDescent="0.25">
      <c r="A281" s="4">
        <v>279</v>
      </c>
      <c r="B281" s="65"/>
      <c r="C281" s="88" t="s">
        <v>476</v>
      </c>
      <c r="D281" s="103"/>
      <c r="E281" s="3" t="s">
        <v>477</v>
      </c>
      <c r="F281" s="3" t="s">
        <v>3</v>
      </c>
      <c r="G281" s="2" t="s">
        <v>202</v>
      </c>
      <c r="H281" s="3" t="s">
        <v>5</v>
      </c>
      <c r="I281" s="3" t="s">
        <v>6</v>
      </c>
      <c r="J281" s="3" t="s">
        <v>472</v>
      </c>
      <c r="K281" s="3">
        <v>4000</v>
      </c>
      <c r="L281" s="104"/>
      <c r="M281" s="85">
        <v>8595909200</v>
      </c>
      <c r="N281" s="5">
        <v>125</v>
      </c>
      <c r="O281" s="6">
        <v>125</v>
      </c>
      <c r="P281" s="7"/>
      <c r="Q281" s="78"/>
      <c r="R281" s="79"/>
    </row>
    <row r="282" spans="1:18" x14ac:dyDescent="0.25">
      <c r="A282" s="4">
        <v>280</v>
      </c>
      <c r="B282" s="27">
        <v>2630</v>
      </c>
      <c r="C282" s="88" t="s">
        <v>434</v>
      </c>
      <c r="D282" s="29"/>
      <c r="E282" s="3" t="s">
        <v>354</v>
      </c>
      <c r="F282" s="3" t="s">
        <v>3</v>
      </c>
      <c r="G282" s="2" t="s">
        <v>399</v>
      </c>
      <c r="H282" s="3" t="s">
        <v>5</v>
      </c>
      <c r="I282" s="3" t="s">
        <v>120</v>
      </c>
      <c r="J282" s="3" t="s">
        <v>407</v>
      </c>
      <c r="K282" s="3">
        <v>3000</v>
      </c>
      <c r="L282" s="35"/>
      <c r="M282" s="85">
        <v>8287873357</v>
      </c>
      <c r="N282" s="5">
        <v>99</v>
      </c>
      <c r="O282" s="6">
        <v>99</v>
      </c>
      <c r="P282" s="7"/>
      <c r="Q282" s="78"/>
      <c r="R282" s="79"/>
    </row>
    <row r="283" spans="1:18" x14ac:dyDescent="0.25">
      <c r="A283" s="4">
        <v>281</v>
      </c>
      <c r="B283" s="27">
        <v>6324</v>
      </c>
      <c r="C283" s="28" t="s">
        <v>416</v>
      </c>
      <c r="D283" s="29"/>
      <c r="E283" s="3" t="s">
        <v>343</v>
      </c>
      <c r="F283" s="3" t="s">
        <v>42</v>
      </c>
      <c r="G283" s="2" t="s">
        <v>283</v>
      </c>
      <c r="H283" s="3" t="s">
        <v>5</v>
      </c>
      <c r="I283" s="3" t="s">
        <v>6</v>
      </c>
      <c r="J283" s="3" t="s">
        <v>240</v>
      </c>
      <c r="K283" s="3">
        <v>4000</v>
      </c>
      <c r="L283" s="35"/>
      <c r="M283" s="131">
        <v>8287883261</v>
      </c>
      <c r="N283" s="5">
        <v>125</v>
      </c>
      <c r="O283" s="6">
        <v>125</v>
      </c>
      <c r="P283" s="7"/>
      <c r="Q283" s="78"/>
      <c r="R283" s="79"/>
    </row>
    <row r="284" spans="1:18" x14ac:dyDescent="0.25">
      <c r="A284" s="4"/>
      <c r="B284" s="145" t="s">
        <v>294</v>
      </c>
      <c r="C284" s="145"/>
      <c r="D284" s="145"/>
      <c r="E284" s="145"/>
      <c r="F284" s="145"/>
      <c r="G284" s="145"/>
      <c r="H284" s="145"/>
      <c r="I284" s="145"/>
      <c r="J284" s="145"/>
      <c r="K284" s="145"/>
      <c r="L284" s="6">
        <f>SUM(L3:L244)</f>
        <v>0</v>
      </c>
      <c r="M284" s="107"/>
      <c r="N284" s="83">
        <f>SUM(N3:N283)</f>
        <v>21688.959999999999</v>
      </c>
      <c r="O284" s="6">
        <f>SUM(O3:O283)</f>
        <v>21730.48</v>
      </c>
      <c r="P284" s="7"/>
      <c r="Q284" s="99"/>
    </row>
    <row r="285" spans="1:18" x14ac:dyDescent="0.25">
      <c r="A285" s="4"/>
      <c r="B285" s="149" t="s">
        <v>292</v>
      </c>
      <c r="C285" s="149"/>
      <c r="D285" s="149"/>
      <c r="E285" s="149"/>
      <c r="F285" s="149"/>
      <c r="G285" s="149"/>
      <c r="H285" s="149"/>
      <c r="I285" s="149"/>
      <c r="J285" s="149"/>
      <c r="K285" s="149"/>
      <c r="L285" s="36">
        <f>L284*9/100</f>
        <v>0</v>
      </c>
      <c r="M285" s="108"/>
      <c r="N285" s="36">
        <f>+N284*0.09</f>
        <v>1952.0063999999998</v>
      </c>
      <c r="O285" s="6">
        <f>O284*9/100</f>
        <v>1955.7432000000001</v>
      </c>
      <c r="P285" s="37"/>
    </row>
    <row r="286" spans="1:18" x14ac:dyDescent="0.25">
      <c r="A286" s="4"/>
      <c r="B286" s="145" t="s">
        <v>293</v>
      </c>
      <c r="C286" s="145"/>
      <c r="D286" s="145"/>
      <c r="E286" s="145"/>
      <c r="F286" s="145"/>
      <c r="G286" s="145"/>
      <c r="H286" s="145"/>
      <c r="I286" s="145"/>
      <c r="J286" s="145"/>
      <c r="K286" s="145"/>
      <c r="L286" s="38">
        <f>L284*9/100</f>
        <v>0</v>
      </c>
      <c r="M286" s="109"/>
      <c r="N286" s="38">
        <f>N284*9/100</f>
        <v>1952.0063999999998</v>
      </c>
      <c r="O286" s="6">
        <f>O284*9/100</f>
        <v>1955.7432000000001</v>
      </c>
      <c r="P286" s="39"/>
      <c r="Q286" s="79"/>
    </row>
    <row r="287" spans="1:18" x14ac:dyDescent="0.25">
      <c r="A287" s="4"/>
      <c r="B287" s="145" t="s">
        <v>294</v>
      </c>
      <c r="C287" s="145"/>
      <c r="D287" s="145"/>
      <c r="E287" s="145"/>
      <c r="F287" s="145"/>
      <c r="G287" s="145"/>
      <c r="H287" s="145"/>
      <c r="I287" s="145"/>
      <c r="J287" s="145"/>
      <c r="K287" s="145"/>
      <c r="L287" s="38">
        <f>SUM(L284:L286)</f>
        <v>0</v>
      </c>
      <c r="M287" s="109"/>
      <c r="N287" s="38">
        <f>N284+N285+N286</f>
        <v>25592.972799999996</v>
      </c>
      <c r="O287" s="6">
        <f>SUM(O284:O286)</f>
        <v>25641.966400000001</v>
      </c>
      <c r="P287" s="40"/>
    </row>
    <row r="288" spans="1:18" ht="15.75" x14ac:dyDescent="0.25">
      <c r="A288" s="41"/>
      <c r="B288" s="41"/>
      <c r="C288" s="41"/>
      <c r="D288" s="42"/>
      <c r="E288" s="43"/>
      <c r="F288" s="43"/>
      <c r="G288" s="41"/>
      <c r="H288" s="41"/>
      <c r="I288" s="44"/>
      <c r="J288" s="45"/>
      <c r="K288" s="41"/>
      <c r="L288" s="41"/>
      <c r="M288" s="43"/>
      <c r="N288" s="41"/>
      <c r="R288">
        <v>26012.43</v>
      </c>
    </row>
    <row r="289" spans="1:18" ht="15.75" x14ac:dyDescent="0.25">
      <c r="A289" s="41"/>
      <c r="B289" s="135" t="s">
        <v>295</v>
      </c>
      <c r="C289" s="136"/>
      <c r="D289" s="136"/>
      <c r="E289" s="136"/>
      <c r="F289" s="136"/>
      <c r="G289" s="137"/>
      <c r="H289" s="41"/>
      <c r="I289" s="46"/>
      <c r="J289" s="142" t="s">
        <v>478</v>
      </c>
      <c r="K289" s="143"/>
      <c r="L289" s="143"/>
      <c r="M289" s="144"/>
      <c r="N289" s="41"/>
      <c r="R289">
        <v>1130.4000000000001</v>
      </c>
    </row>
    <row r="290" spans="1:18" ht="15.75" x14ac:dyDescent="0.25">
      <c r="A290" s="41"/>
      <c r="B290" s="47" t="s">
        <v>296</v>
      </c>
      <c r="C290" s="48" t="s">
        <v>297</v>
      </c>
      <c r="D290" s="48" t="s">
        <v>298</v>
      </c>
      <c r="E290" s="49" t="s">
        <v>299</v>
      </c>
      <c r="F290" s="135" t="s">
        <v>300</v>
      </c>
      <c r="G290" s="137"/>
      <c r="H290" s="50" t="s">
        <v>301</v>
      </c>
      <c r="I290" s="46"/>
      <c r="J290" s="119" t="s">
        <v>484</v>
      </c>
      <c r="K290" s="5" t="s">
        <v>483</v>
      </c>
      <c r="L290" s="3" t="s">
        <v>0</v>
      </c>
      <c r="M290" s="118" t="s">
        <v>439</v>
      </c>
      <c r="N290"/>
      <c r="R290">
        <f>R288+R289</f>
        <v>27142.83</v>
      </c>
    </row>
    <row r="291" spans="1:18" ht="14.25" customHeight="1" x14ac:dyDescent="0.25">
      <c r="A291" s="41"/>
      <c r="B291" s="47">
        <v>1</v>
      </c>
      <c r="C291" s="123">
        <v>8287930616</v>
      </c>
      <c r="D291" s="48" t="s">
        <v>302</v>
      </c>
      <c r="E291" s="49">
        <v>99</v>
      </c>
      <c r="F291" s="138" t="s">
        <v>303</v>
      </c>
      <c r="G291" s="138"/>
      <c r="H291" s="50">
        <v>2637</v>
      </c>
      <c r="I291" s="44"/>
      <c r="J291" s="119">
        <v>1</v>
      </c>
      <c r="K291" s="5">
        <v>8287930600</v>
      </c>
      <c r="L291" s="3" t="s">
        <v>425</v>
      </c>
      <c r="M291" s="119" t="s">
        <v>480</v>
      </c>
      <c r="N291" s="41"/>
    </row>
    <row r="292" spans="1:18" s="84" customFormat="1" ht="15.75" x14ac:dyDescent="0.25">
      <c r="A292" s="58"/>
      <c r="B292" s="47">
        <v>2</v>
      </c>
      <c r="C292" s="123">
        <v>8287930678</v>
      </c>
      <c r="D292" s="48" t="s">
        <v>302</v>
      </c>
      <c r="E292" s="49">
        <v>0</v>
      </c>
      <c r="F292" s="138" t="s">
        <v>304</v>
      </c>
      <c r="G292" s="138"/>
      <c r="H292" s="50">
        <v>5224</v>
      </c>
      <c r="I292" s="115"/>
      <c r="J292" s="120">
        <v>2</v>
      </c>
      <c r="K292" s="3">
        <v>8595909200</v>
      </c>
      <c r="L292" s="65" t="s">
        <v>476</v>
      </c>
      <c r="M292" s="120" t="s">
        <v>481</v>
      </c>
      <c r="N292" s="58"/>
    </row>
    <row r="293" spans="1:18" s="84" customFormat="1" ht="15.75" x14ac:dyDescent="0.25">
      <c r="A293" s="58"/>
      <c r="B293" s="47">
        <v>3</v>
      </c>
      <c r="C293" s="123">
        <v>8287930679</v>
      </c>
      <c r="D293" s="48" t="s">
        <v>302</v>
      </c>
      <c r="E293" s="49">
        <v>99</v>
      </c>
      <c r="F293" s="138" t="s">
        <v>136</v>
      </c>
      <c r="G293" s="138"/>
      <c r="H293" s="50">
        <v>5028</v>
      </c>
      <c r="I293" s="115"/>
      <c r="J293" s="120">
        <v>3</v>
      </c>
      <c r="K293" s="65">
        <v>8595924204</v>
      </c>
      <c r="L293" s="121" t="s">
        <v>479</v>
      </c>
      <c r="M293" s="120" t="s">
        <v>482</v>
      </c>
      <c r="N293" s="58"/>
    </row>
    <row r="294" spans="1:18" ht="15.75" x14ac:dyDescent="0.25">
      <c r="A294" s="41"/>
      <c r="B294" s="47"/>
      <c r="C294" s="123">
        <v>8287930720</v>
      </c>
      <c r="D294" s="48" t="s">
        <v>302</v>
      </c>
      <c r="E294" s="49">
        <v>67</v>
      </c>
      <c r="F294" s="135" t="s">
        <v>490</v>
      </c>
      <c r="G294" s="137"/>
      <c r="H294" s="3" t="s">
        <v>491</v>
      </c>
      <c r="I294" s="46"/>
      <c r="J294" s="122">
        <v>5</v>
      </c>
      <c r="K294" s="27">
        <v>8287930702</v>
      </c>
      <c r="L294" s="3" t="s">
        <v>103</v>
      </c>
      <c r="M294" s="27" t="s">
        <v>485</v>
      </c>
      <c r="N294"/>
    </row>
    <row r="295" spans="1:18" ht="15.75" x14ac:dyDescent="0.25">
      <c r="A295" s="41"/>
      <c r="B295" s="47">
        <v>6</v>
      </c>
      <c r="C295" s="123">
        <v>8287930721</v>
      </c>
      <c r="D295" s="48" t="s">
        <v>302</v>
      </c>
      <c r="E295" s="49">
        <v>67</v>
      </c>
      <c r="F295" s="139" t="s">
        <v>305</v>
      </c>
      <c r="G295" s="139"/>
      <c r="H295" s="3" t="s">
        <v>306</v>
      </c>
      <c r="I295" s="44"/>
      <c r="J295" s="122">
        <v>6</v>
      </c>
      <c r="K295" s="27">
        <v>8287930616</v>
      </c>
      <c r="L295" s="27" t="s">
        <v>303</v>
      </c>
      <c r="M295" s="27" t="s">
        <v>485</v>
      </c>
      <c r="N295"/>
    </row>
    <row r="296" spans="1:18" ht="15.75" x14ac:dyDescent="0.25">
      <c r="A296" s="41"/>
      <c r="B296" s="106">
        <v>7</v>
      </c>
      <c r="C296" s="123">
        <v>8287930722</v>
      </c>
      <c r="D296" s="48" t="s">
        <v>302</v>
      </c>
      <c r="E296" s="49">
        <v>67</v>
      </c>
      <c r="F296" s="138" t="s">
        <v>307</v>
      </c>
      <c r="G296" s="138"/>
      <c r="H296" s="3" t="s">
        <v>308</v>
      </c>
      <c r="I296" s="44"/>
      <c r="J296" s="41"/>
      <c r="L296" s="117"/>
      <c r="N296"/>
    </row>
    <row r="297" spans="1:18" ht="15.75" x14ac:dyDescent="0.25">
      <c r="A297" s="41"/>
      <c r="B297" s="47">
        <v>8</v>
      </c>
      <c r="C297" s="123">
        <v>8287930801</v>
      </c>
      <c r="D297" s="48" t="s">
        <v>302</v>
      </c>
      <c r="E297" s="49">
        <v>67</v>
      </c>
      <c r="F297" s="138" t="s">
        <v>309</v>
      </c>
      <c r="G297" s="138"/>
      <c r="H297" s="3" t="s">
        <v>310</v>
      </c>
      <c r="I297" s="44"/>
      <c r="J297" s="41"/>
      <c r="L297" s="117"/>
      <c r="N297"/>
    </row>
    <row r="298" spans="1:18" ht="15.75" x14ac:dyDescent="0.25">
      <c r="A298" s="41"/>
      <c r="B298" s="47">
        <v>9</v>
      </c>
      <c r="C298" s="123">
        <v>8287930802</v>
      </c>
      <c r="D298" s="48" t="s">
        <v>302</v>
      </c>
      <c r="E298" s="49">
        <v>67</v>
      </c>
      <c r="F298" s="138" t="s">
        <v>311</v>
      </c>
      <c r="G298" s="138"/>
      <c r="H298" s="50">
        <v>4882</v>
      </c>
      <c r="I298" s="44"/>
      <c r="J298" s="41"/>
      <c r="L298" s="117"/>
      <c r="N298"/>
    </row>
    <row r="299" spans="1:18" ht="15.75" x14ac:dyDescent="0.25">
      <c r="A299" s="41"/>
      <c r="B299" s="47">
        <v>10</v>
      </c>
      <c r="C299" s="123">
        <v>8287930803</v>
      </c>
      <c r="D299" s="48" t="s">
        <v>302</v>
      </c>
      <c r="E299" s="49">
        <v>67</v>
      </c>
      <c r="F299" s="138" t="s">
        <v>312</v>
      </c>
      <c r="G299" s="138"/>
      <c r="H299" s="50">
        <v>4874</v>
      </c>
      <c r="I299" s="44"/>
      <c r="J299" s="41"/>
      <c r="L299" s="117"/>
      <c r="N299"/>
    </row>
    <row r="300" spans="1:18" ht="15.75" x14ac:dyDescent="0.25">
      <c r="A300" s="41"/>
      <c r="B300" s="106">
        <v>11</v>
      </c>
      <c r="C300" s="123">
        <v>8595924251</v>
      </c>
      <c r="D300" s="48" t="s">
        <v>313</v>
      </c>
      <c r="E300" s="49">
        <v>0</v>
      </c>
      <c r="F300" s="134" t="s">
        <v>314</v>
      </c>
      <c r="G300" s="134"/>
      <c r="H300" s="50"/>
      <c r="I300" s="44"/>
      <c r="J300" s="41"/>
      <c r="L300" s="117"/>
      <c r="N300"/>
    </row>
    <row r="301" spans="1:18" ht="15.75" x14ac:dyDescent="0.25">
      <c r="A301" s="41"/>
      <c r="B301" s="47">
        <v>12</v>
      </c>
      <c r="C301" s="123">
        <v>8595924252</v>
      </c>
      <c r="D301" s="48" t="s">
        <v>315</v>
      </c>
      <c r="E301" s="49">
        <v>0</v>
      </c>
      <c r="F301" s="141" t="s">
        <v>314</v>
      </c>
      <c r="G301" s="141"/>
      <c r="H301" s="50"/>
      <c r="I301" s="44"/>
      <c r="J301" s="41"/>
      <c r="N301"/>
    </row>
    <row r="302" spans="1:18" ht="15.75" x14ac:dyDescent="0.25">
      <c r="A302" s="41"/>
      <c r="B302" s="47">
        <v>13</v>
      </c>
      <c r="C302" s="123">
        <v>8595924270</v>
      </c>
      <c r="D302" s="48" t="s">
        <v>17</v>
      </c>
      <c r="E302" s="49">
        <v>99</v>
      </c>
      <c r="F302" s="138" t="s">
        <v>447</v>
      </c>
      <c r="G302" s="138"/>
      <c r="H302" s="51"/>
      <c r="I302" s="44"/>
      <c r="J302" s="41"/>
      <c r="N302"/>
    </row>
    <row r="303" spans="1:18" ht="15.75" x14ac:dyDescent="0.25">
      <c r="A303" s="41"/>
      <c r="B303" s="47">
        <v>14</v>
      </c>
      <c r="C303" s="123">
        <v>8595924271</v>
      </c>
      <c r="D303" s="48" t="s">
        <v>315</v>
      </c>
      <c r="E303" s="49">
        <v>0</v>
      </c>
      <c r="F303" s="138" t="s">
        <v>316</v>
      </c>
      <c r="G303" s="138"/>
      <c r="H303" s="51" t="s">
        <v>252</v>
      </c>
      <c r="I303" s="44"/>
      <c r="J303" s="41"/>
      <c r="N303"/>
    </row>
    <row r="304" spans="1:18" ht="15.75" x14ac:dyDescent="0.25">
      <c r="A304" s="41"/>
      <c r="B304" s="47">
        <v>15</v>
      </c>
      <c r="C304" s="123">
        <v>8595924272</v>
      </c>
      <c r="D304" s="48" t="s">
        <v>315</v>
      </c>
      <c r="E304" s="49">
        <v>0</v>
      </c>
      <c r="F304" s="138" t="s">
        <v>317</v>
      </c>
      <c r="G304" s="138"/>
      <c r="H304" s="51" t="s">
        <v>252</v>
      </c>
      <c r="I304" s="44"/>
      <c r="J304" s="41"/>
      <c r="N304"/>
    </row>
    <row r="305" spans="1:16" ht="15.75" x14ac:dyDescent="0.25">
      <c r="A305" s="41"/>
      <c r="B305" s="47">
        <v>16</v>
      </c>
      <c r="C305" s="123">
        <v>8595924273</v>
      </c>
      <c r="D305" s="48" t="s">
        <v>315</v>
      </c>
      <c r="E305" s="49">
        <v>0</v>
      </c>
      <c r="F305" s="138" t="s">
        <v>318</v>
      </c>
      <c r="G305" s="138"/>
      <c r="H305" s="51">
        <v>4920</v>
      </c>
      <c r="I305" s="44"/>
      <c r="J305" s="41"/>
      <c r="N305"/>
    </row>
    <row r="306" spans="1:16" ht="15.75" x14ac:dyDescent="0.25">
      <c r="A306" s="41"/>
      <c r="B306" s="47">
        <v>17</v>
      </c>
      <c r="C306" s="123">
        <v>8595924274</v>
      </c>
      <c r="D306" s="48" t="s">
        <v>315</v>
      </c>
      <c r="E306" s="49">
        <v>0</v>
      </c>
      <c r="F306" s="138" t="s">
        <v>319</v>
      </c>
      <c r="G306" s="138"/>
      <c r="H306" s="51">
        <v>6491</v>
      </c>
      <c r="I306" s="44"/>
      <c r="J306" s="41"/>
      <c r="N306"/>
    </row>
    <row r="307" spans="1:16" ht="15.75" x14ac:dyDescent="0.25">
      <c r="A307" s="4"/>
      <c r="B307" s="47">
        <v>18</v>
      </c>
      <c r="C307" s="128">
        <v>8595924206</v>
      </c>
      <c r="D307" s="48" t="s">
        <v>302</v>
      </c>
      <c r="E307" s="49">
        <v>125</v>
      </c>
      <c r="F307" s="138" t="s">
        <v>415</v>
      </c>
      <c r="G307" s="138"/>
      <c r="H307" s="51">
        <v>2472</v>
      </c>
      <c r="I307" s="44"/>
      <c r="J307" s="41"/>
      <c r="N307"/>
    </row>
    <row r="308" spans="1:16" ht="15.75" x14ac:dyDescent="0.25">
      <c r="A308" s="41"/>
      <c r="B308" s="9">
        <v>20</v>
      </c>
      <c r="C308" s="127">
        <v>8287930793</v>
      </c>
      <c r="D308" s="5" t="s">
        <v>302</v>
      </c>
      <c r="E308" s="3">
        <v>67</v>
      </c>
      <c r="F308" s="140" t="s">
        <v>320</v>
      </c>
      <c r="G308" s="140"/>
      <c r="H308" s="51">
        <v>5576</v>
      </c>
      <c r="I308" s="44"/>
      <c r="J308" s="41"/>
      <c r="N308"/>
    </row>
    <row r="309" spans="1:16" ht="15.75" x14ac:dyDescent="0.25">
      <c r="A309" s="41"/>
      <c r="B309" s="52"/>
      <c r="C309" s="53" t="s">
        <v>321</v>
      </c>
      <c r="D309" s="53"/>
      <c r="E309" s="54">
        <f>SUM(E291:E308)</f>
        <v>891</v>
      </c>
      <c r="F309" s="55"/>
      <c r="G309" s="56"/>
      <c r="H309" s="57"/>
      <c r="I309" s="44"/>
      <c r="J309" s="41"/>
      <c r="N309"/>
    </row>
    <row r="310" spans="1:16" ht="15.75" x14ac:dyDescent="0.25">
      <c r="A310" s="41"/>
      <c r="B310" s="47"/>
      <c r="C310" s="48" t="s">
        <v>322</v>
      </c>
      <c r="D310" s="48"/>
      <c r="E310" s="49">
        <f>E309*18/100</f>
        <v>160.38</v>
      </c>
      <c r="F310" s="55"/>
      <c r="G310" s="56"/>
      <c r="H310" s="57"/>
      <c r="I310" s="44"/>
      <c r="J310" s="45"/>
      <c r="K310" s="41"/>
      <c r="L310" s="41"/>
      <c r="M310" s="43"/>
      <c r="N310" s="58"/>
      <c r="O310" s="41"/>
      <c r="P310" s="41"/>
    </row>
    <row r="311" spans="1:16" ht="15.75" x14ac:dyDescent="0.25">
      <c r="B311" s="58"/>
      <c r="C311" s="59" t="s">
        <v>1</v>
      </c>
      <c r="D311" s="59"/>
      <c r="E311" s="60">
        <f>E309+E310</f>
        <v>1051.3800000000001</v>
      </c>
      <c r="F311" s="55"/>
      <c r="G311" s="57"/>
      <c r="H311" s="61"/>
      <c r="N311" s="84"/>
    </row>
    <row r="312" spans="1:16" x14ac:dyDescent="0.25">
      <c r="N312" s="84"/>
    </row>
    <row r="313" spans="1:16" x14ac:dyDescent="0.25">
      <c r="N313" s="84"/>
    </row>
    <row r="314" spans="1:16" x14ac:dyDescent="0.25">
      <c r="N314" s="84"/>
    </row>
    <row r="315" spans="1:16" x14ac:dyDescent="0.25">
      <c r="N315" s="84"/>
    </row>
    <row r="316" spans="1:16" x14ac:dyDescent="0.25">
      <c r="N316" s="84"/>
    </row>
    <row r="317" spans="1:16" x14ac:dyDescent="0.25">
      <c r="N317" s="84"/>
    </row>
    <row r="318" spans="1:16" x14ac:dyDescent="0.25">
      <c r="N318" s="84"/>
    </row>
    <row r="319" spans="1:16" x14ac:dyDescent="0.25">
      <c r="N319" s="84"/>
    </row>
    <row r="320" spans="1:16" x14ac:dyDescent="0.25">
      <c r="N320" s="84"/>
    </row>
    <row r="321" spans="14:14" x14ac:dyDescent="0.25">
      <c r="N321" s="84"/>
    </row>
    <row r="322" spans="14:14" x14ac:dyDescent="0.25">
      <c r="N322" s="84"/>
    </row>
    <row r="323" spans="14:14" x14ac:dyDescent="0.25">
      <c r="N323" s="84"/>
    </row>
    <row r="324" spans="14:14" x14ac:dyDescent="0.25">
      <c r="N324" s="84"/>
    </row>
    <row r="325" spans="14:14" x14ac:dyDescent="0.25">
      <c r="N325" s="84"/>
    </row>
    <row r="326" spans="14:14" x14ac:dyDescent="0.25">
      <c r="N326" s="84"/>
    </row>
    <row r="327" spans="14:14" x14ac:dyDescent="0.25">
      <c r="N327" s="84"/>
    </row>
    <row r="328" spans="14:14" x14ac:dyDescent="0.25">
      <c r="N328" s="84"/>
    </row>
    <row r="329" spans="14:14" x14ac:dyDescent="0.25">
      <c r="N329" s="84"/>
    </row>
    <row r="330" spans="14:14" x14ac:dyDescent="0.25">
      <c r="N330" s="84"/>
    </row>
    <row r="331" spans="14:14" x14ac:dyDescent="0.25">
      <c r="N331" s="84"/>
    </row>
    <row r="332" spans="14:14" x14ac:dyDescent="0.25">
      <c r="N332" s="84"/>
    </row>
    <row r="333" spans="14:14" x14ac:dyDescent="0.25">
      <c r="N333" s="84"/>
    </row>
    <row r="334" spans="14:14" x14ac:dyDescent="0.25">
      <c r="N334" s="84"/>
    </row>
    <row r="335" spans="14:14" x14ac:dyDescent="0.25">
      <c r="N335" s="84"/>
    </row>
    <row r="336" spans="14:14" x14ac:dyDescent="0.25">
      <c r="N336" s="84"/>
    </row>
    <row r="337" spans="14:14" x14ac:dyDescent="0.25">
      <c r="N337" s="84"/>
    </row>
    <row r="338" spans="14:14" x14ac:dyDescent="0.25">
      <c r="N338" s="84"/>
    </row>
    <row r="339" spans="14:14" x14ac:dyDescent="0.25">
      <c r="N339" s="84"/>
    </row>
    <row r="340" spans="14:14" x14ac:dyDescent="0.25">
      <c r="N340" s="84"/>
    </row>
    <row r="341" spans="14:14" x14ac:dyDescent="0.25">
      <c r="N341" s="84"/>
    </row>
    <row r="342" spans="14:14" x14ac:dyDescent="0.25">
      <c r="N342" s="84"/>
    </row>
    <row r="343" spans="14:14" x14ac:dyDescent="0.25">
      <c r="N343" s="84"/>
    </row>
    <row r="344" spans="14:14" x14ac:dyDescent="0.25">
      <c r="N344" s="84"/>
    </row>
    <row r="345" spans="14:14" x14ac:dyDescent="0.25">
      <c r="N345" s="84"/>
    </row>
    <row r="346" spans="14:14" x14ac:dyDescent="0.25">
      <c r="N346" s="84"/>
    </row>
    <row r="347" spans="14:14" x14ac:dyDescent="0.25">
      <c r="N347" s="84"/>
    </row>
    <row r="348" spans="14:14" x14ac:dyDescent="0.25">
      <c r="N348" s="84"/>
    </row>
    <row r="349" spans="14:14" x14ac:dyDescent="0.25">
      <c r="N349" s="84"/>
    </row>
    <row r="350" spans="14:14" x14ac:dyDescent="0.25">
      <c r="N350" s="84"/>
    </row>
    <row r="351" spans="14:14" x14ac:dyDescent="0.25">
      <c r="N351" s="84"/>
    </row>
    <row r="352" spans="14:14" x14ac:dyDescent="0.25">
      <c r="N352" s="84"/>
    </row>
    <row r="353" spans="14:14" x14ac:dyDescent="0.25">
      <c r="N353" s="84"/>
    </row>
    <row r="354" spans="14:14" x14ac:dyDescent="0.25">
      <c r="N354" s="84"/>
    </row>
    <row r="355" spans="14:14" x14ac:dyDescent="0.25">
      <c r="N355" s="84"/>
    </row>
    <row r="356" spans="14:14" x14ac:dyDescent="0.25">
      <c r="N356" s="84"/>
    </row>
    <row r="357" spans="14:14" x14ac:dyDescent="0.25">
      <c r="N357" s="84"/>
    </row>
    <row r="358" spans="14:14" x14ac:dyDescent="0.25">
      <c r="N358" s="84"/>
    </row>
    <row r="359" spans="14:14" x14ac:dyDescent="0.25">
      <c r="N359" s="84"/>
    </row>
    <row r="360" spans="14:14" x14ac:dyDescent="0.25">
      <c r="N360" s="84"/>
    </row>
    <row r="361" spans="14:14" x14ac:dyDescent="0.25">
      <c r="N361" s="84"/>
    </row>
    <row r="362" spans="14:14" x14ac:dyDescent="0.25">
      <c r="N362" s="84"/>
    </row>
    <row r="363" spans="14:14" x14ac:dyDescent="0.25">
      <c r="N363" s="84"/>
    </row>
    <row r="364" spans="14:14" x14ac:dyDescent="0.25">
      <c r="N364" s="84"/>
    </row>
    <row r="365" spans="14:14" x14ac:dyDescent="0.25">
      <c r="N365" s="84"/>
    </row>
    <row r="366" spans="14:14" x14ac:dyDescent="0.25">
      <c r="N366" s="84"/>
    </row>
    <row r="367" spans="14:14" x14ac:dyDescent="0.25">
      <c r="N367" s="84"/>
    </row>
    <row r="368" spans="14:14" x14ac:dyDescent="0.25">
      <c r="N368" s="84"/>
    </row>
    <row r="369" spans="14:14" x14ac:dyDescent="0.25">
      <c r="N369" s="84"/>
    </row>
    <row r="370" spans="14:14" x14ac:dyDescent="0.25">
      <c r="N370" s="84"/>
    </row>
    <row r="371" spans="14:14" x14ac:dyDescent="0.25">
      <c r="N371" s="84"/>
    </row>
    <row r="372" spans="14:14" x14ac:dyDescent="0.25">
      <c r="N372" s="84"/>
    </row>
    <row r="373" spans="14:14" x14ac:dyDescent="0.25">
      <c r="N373" s="84"/>
    </row>
    <row r="374" spans="14:14" x14ac:dyDescent="0.25">
      <c r="N374" s="84"/>
    </row>
    <row r="375" spans="14:14" x14ac:dyDescent="0.25">
      <c r="N375" s="84"/>
    </row>
    <row r="376" spans="14:14" x14ac:dyDescent="0.25">
      <c r="N376" s="84"/>
    </row>
    <row r="377" spans="14:14" x14ac:dyDescent="0.25">
      <c r="N377" s="84"/>
    </row>
    <row r="378" spans="14:14" x14ac:dyDescent="0.25">
      <c r="N378" s="84"/>
    </row>
    <row r="379" spans="14:14" x14ac:dyDescent="0.25">
      <c r="N379" s="84"/>
    </row>
    <row r="380" spans="14:14" x14ac:dyDescent="0.25">
      <c r="N380" s="84"/>
    </row>
    <row r="381" spans="14:14" x14ac:dyDescent="0.25">
      <c r="N381" s="84"/>
    </row>
    <row r="382" spans="14:14" x14ac:dyDescent="0.25">
      <c r="N382" s="84"/>
    </row>
    <row r="383" spans="14:14" x14ac:dyDescent="0.25">
      <c r="N383" s="84"/>
    </row>
    <row r="384" spans="14:14" x14ac:dyDescent="0.25">
      <c r="N384" s="84"/>
    </row>
    <row r="385" spans="14:14" x14ac:dyDescent="0.25">
      <c r="N385" s="84"/>
    </row>
    <row r="386" spans="14:14" x14ac:dyDescent="0.25">
      <c r="N386" s="84"/>
    </row>
    <row r="387" spans="14:14" x14ac:dyDescent="0.25">
      <c r="N387" s="84"/>
    </row>
    <row r="388" spans="14:14" x14ac:dyDescent="0.25">
      <c r="N388" s="84"/>
    </row>
    <row r="389" spans="14:14" x14ac:dyDescent="0.25">
      <c r="N389" s="84"/>
    </row>
    <row r="390" spans="14:14" x14ac:dyDescent="0.25">
      <c r="N390" s="84"/>
    </row>
    <row r="391" spans="14:14" x14ac:dyDescent="0.25">
      <c r="N391" s="84"/>
    </row>
    <row r="392" spans="14:14" x14ac:dyDescent="0.25">
      <c r="N392" s="84"/>
    </row>
    <row r="393" spans="14:14" x14ac:dyDescent="0.25">
      <c r="N393" s="84"/>
    </row>
    <row r="394" spans="14:14" x14ac:dyDescent="0.25">
      <c r="N394" s="84"/>
    </row>
    <row r="395" spans="14:14" x14ac:dyDescent="0.25">
      <c r="N395" s="84"/>
    </row>
    <row r="396" spans="14:14" x14ac:dyDescent="0.25">
      <c r="N396" s="84"/>
    </row>
    <row r="397" spans="14:14" x14ac:dyDescent="0.25">
      <c r="N397" s="84"/>
    </row>
    <row r="398" spans="14:14" x14ac:dyDescent="0.25">
      <c r="N398" s="84"/>
    </row>
    <row r="399" spans="14:14" x14ac:dyDescent="0.25">
      <c r="N399" s="84"/>
    </row>
    <row r="400" spans="14:14" x14ac:dyDescent="0.25">
      <c r="N400" s="84"/>
    </row>
    <row r="401" spans="14:14" x14ac:dyDescent="0.25">
      <c r="N401" s="84"/>
    </row>
    <row r="402" spans="14:14" x14ac:dyDescent="0.25">
      <c r="N402" s="84"/>
    </row>
    <row r="403" spans="14:14" x14ac:dyDescent="0.25">
      <c r="N403" s="84"/>
    </row>
    <row r="404" spans="14:14" x14ac:dyDescent="0.25">
      <c r="N404" s="84"/>
    </row>
    <row r="405" spans="14:14" x14ac:dyDescent="0.25">
      <c r="N405" s="84"/>
    </row>
    <row r="406" spans="14:14" x14ac:dyDescent="0.25">
      <c r="N406" s="84"/>
    </row>
    <row r="407" spans="14:14" x14ac:dyDescent="0.25">
      <c r="N407" s="84"/>
    </row>
    <row r="408" spans="14:14" x14ac:dyDescent="0.25">
      <c r="N408" s="84"/>
    </row>
    <row r="409" spans="14:14" x14ac:dyDescent="0.25">
      <c r="N409" s="84"/>
    </row>
    <row r="410" spans="14:14" x14ac:dyDescent="0.25">
      <c r="N410" s="84"/>
    </row>
    <row r="411" spans="14:14" x14ac:dyDescent="0.25">
      <c r="N411" s="84"/>
    </row>
    <row r="412" spans="14:14" x14ac:dyDescent="0.25">
      <c r="N412" s="84"/>
    </row>
    <row r="413" spans="14:14" x14ac:dyDescent="0.25">
      <c r="N413" s="84"/>
    </row>
    <row r="414" spans="14:14" x14ac:dyDescent="0.25">
      <c r="N414" s="84"/>
    </row>
    <row r="415" spans="14:14" x14ac:dyDescent="0.25">
      <c r="N415" s="84"/>
    </row>
    <row r="416" spans="14:14" x14ac:dyDescent="0.25">
      <c r="N416" s="84"/>
    </row>
    <row r="417" spans="14:14" x14ac:dyDescent="0.25">
      <c r="N417" s="84"/>
    </row>
    <row r="418" spans="14:14" x14ac:dyDescent="0.25">
      <c r="N418" s="84"/>
    </row>
    <row r="419" spans="14:14" x14ac:dyDescent="0.25">
      <c r="N419" s="84"/>
    </row>
    <row r="420" spans="14:14" x14ac:dyDescent="0.25">
      <c r="N420" s="84"/>
    </row>
    <row r="421" spans="14:14" x14ac:dyDescent="0.25">
      <c r="N421" s="84"/>
    </row>
    <row r="422" spans="14:14" x14ac:dyDescent="0.25">
      <c r="N422" s="84"/>
    </row>
    <row r="423" spans="14:14" x14ac:dyDescent="0.25">
      <c r="N423" s="84"/>
    </row>
    <row r="424" spans="14:14" x14ac:dyDescent="0.25">
      <c r="N424" s="84"/>
    </row>
    <row r="425" spans="14:14" x14ac:dyDescent="0.25">
      <c r="N425" s="84"/>
    </row>
    <row r="426" spans="14:14" x14ac:dyDescent="0.25">
      <c r="N426" s="84"/>
    </row>
    <row r="427" spans="14:14" x14ac:dyDescent="0.25">
      <c r="N427" s="84"/>
    </row>
    <row r="428" spans="14:14" x14ac:dyDescent="0.25">
      <c r="N428" s="84"/>
    </row>
    <row r="429" spans="14:14" x14ac:dyDescent="0.25">
      <c r="N429" s="84"/>
    </row>
    <row r="430" spans="14:14" x14ac:dyDescent="0.25">
      <c r="N430" s="84"/>
    </row>
    <row r="431" spans="14:14" x14ac:dyDescent="0.25">
      <c r="N431" s="84"/>
    </row>
    <row r="432" spans="14:14" x14ac:dyDescent="0.25">
      <c r="N432" s="84"/>
    </row>
    <row r="433" spans="14:14" x14ac:dyDescent="0.25">
      <c r="N433" s="84"/>
    </row>
    <row r="434" spans="14:14" x14ac:dyDescent="0.25">
      <c r="N434" s="84"/>
    </row>
    <row r="435" spans="14:14" x14ac:dyDescent="0.25">
      <c r="N435" s="84"/>
    </row>
    <row r="436" spans="14:14" x14ac:dyDescent="0.25">
      <c r="N436" s="84"/>
    </row>
    <row r="437" spans="14:14" x14ac:dyDescent="0.25">
      <c r="N437" s="84"/>
    </row>
    <row r="438" spans="14:14" x14ac:dyDescent="0.25">
      <c r="N438" s="84"/>
    </row>
    <row r="439" spans="14:14" x14ac:dyDescent="0.25">
      <c r="N439" s="84"/>
    </row>
    <row r="440" spans="14:14" x14ac:dyDescent="0.25">
      <c r="N440" s="84"/>
    </row>
    <row r="441" spans="14:14" x14ac:dyDescent="0.25">
      <c r="N441" s="84"/>
    </row>
    <row r="442" spans="14:14" x14ac:dyDescent="0.25">
      <c r="N442" s="84"/>
    </row>
    <row r="443" spans="14:14" x14ac:dyDescent="0.25">
      <c r="N443" s="84"/>
    </row>
    <row r="444" spans="14:14" x14ac:dyDescent="0.25">
      <c r="N444" s="84"/>
    </row>
    <row r="445" spans="14:14" x14ac:dyDescent="0.25">
      <c r="N445" s="84"/>
    </row>
    <row r="446" spans="14:14" x14ac:dyDescent="0.25">
      <c r="N446" s="84"/>
    </row>
    <row r="447" spans="14:14" x14ac:dyDescent="0.25">
      <c r="N447" s="84"/>
    </row>
    <row r="448" spans="14:14" x14ac:dyDescent="0.25">
      <c r="N448" s="84"/>
    </row>
    <row r="449" spans="14:14" x14ac:dyDescent="0.25">
      <c r="N449" s="84"/>
    </row>
    <row r="450" spans="14:14" x14ac:dyDescent="0.25">
      <c r="N450" s="84"/>
    </row>
    <row r="451" spans="14:14" x14ac:dyDescent="0.25">
      <c r="N451" s="84"/>
    </row>
    <row r="452" spans="14:14" x14ac:dyDescent="0.25">
      <c r="N452" s="84"/>
    </row>
    <row r="453" spans="14:14" x14ac:dyDescent="0.25">
      <c r="N453" s="84"/>
    </row>
    <row r="454" spans="14:14" x14ac:dyDescent="0.25">
      <c r="N454" s="84"/>
    </row>
    <row r="455" spans="14:14" x14ac:dyDescent="0.25">
      <c r="N455" s="84"/>
    </row>
    <row r="456" spans="14:14" x14ac:dyDescent="0.25">
      <c r="N456" s="84"/>
    </row>
    <row r="457" spans="14:14" x14ac:dyDescent="0.25">
      <c r="N457" s="84"/>
    </row>
    <row r="458" spans="14:14" x14ac:dyDescent="0.25">
      <c r="N458" s="84"/>
    </row>
    <row r="459" spans="14:14" x14ac:dyDescent="0.25">
      <c r="N459" s="84"/>
    </row>
    <row r="460" spans="14:14" x14ac:dyDescent="0.25">
      <c r="N460" s="84"/>
    </row>
    <row r="461" spans="14:14" x14ac:dyDescent="0.25">
      <c r="N461" s="84"/>
    </row>
    <row r="462" spans="14:14" x14ac:dyDescent="0.25">
      <c r="N462" s="84"/>
    </row>
    <row r="463" spans="14:14" x14ac:dyDescent="0.25">
      <c r="N463" s="84"/>
    </row>
    <row r="464" spans="14:14" x14ac:dyDescent="0.25">
      <c r="N464" s="84"/>
    </row>
    <row r="465" spans="14:14" x14ac:dyDescent="0.25">
      <c r="N465" s="84"/>
    </row>
    <row r="466" spans="14:14" x14ac:dyDescent="0.25">
      <c r="N466" s="84"/>
    </row>
    <row r="467" spans="14:14" x14ac:dyDescent="0.25">
      <c r="N467" s="84"/>
    </row>
    <row r="468" spans="14:14" x14ac:dyDescent="0.25">
      <c r="N468" s="84"/>
    </row>
    <row r="469" spans="14:14" x14ac:dyDescent="0.25">
      <c r="N469" s="84"/>
    </row>
    <row r="470" spans="14:14" x14ac:dyDescent="0.25">
      <c r="N470" s="84"/>
    </row>
    <row r="471" spans="14:14" x14ac:dyDescent="0.25">
      <c r="N471" s="84"/>
    </row>
    <row r="472" spans="14:14" x14ac:dyDescent="0.25">
      <c r="N472" s="84"/>
    </row>
    <row r="473" spans="14:14" x14ac:dyDescent="0.25">
      <c r="N473" s="84"/>
    </row>
    <row r="474" spans="14:14" x14ac:dyDescent="0.25">
      <c r="N474" s="84"/>
    </row>
    <row r="475" spans="14:14" x14ac:dyDescent="0.25">
      <c r="N475" s="84"/>
    </row>
    <row r="476" spans="14:14" x14ac:dyDescent="0.25">
      <c r="N476" s="84"/>
    </row>
    <row r="477" spans="14:14" x14ac:dyDescent="0.25">
      <c r="N477" s="84"/>
    </row>
    <row r="478" spans="14:14" x14ac:dyDescent="0.25">
      <c r="N478" s="84"/>
    </row>
    <row r="479" spans="14:14" x14ac:dyDescent="0.25">
      <c r="N479" s="84"/>
    </row>
    <row r="480" spans="14:14" x14ac:dyDescent="0.25">
      <c r="N480" s="84"/>
    </row>
    <row r="481" spans="14:14" x14ac:dyDescent="0.25">
      <c r="N481" s="84"/>
    </row>
    <row r="482" spans="14:14" x14ac:dyDescent="0.25">
      <c r="N482" s="84"/>
    </row>
    <row r="483" spans="14:14" x14ac:dyDescent="0.25">
      <c r="N483" s="84"/>
    </row>
    <row r="484" spans="14:14" x14ac:dyDescent="0.25">
      <c r="N484" s="84"/>
    </row>
    <row r="485" spans="14:14" x14ac:dyDescent="0.25">
      <c r="N485" s="84"/>
    </row>
    <row r="486" spans="14:14" x14ac:dyDescent="0.25">
      <c r="N486" s="84"/>
    </row>
    <row r="487" spans="14:14" x14ac:dyDescent="0.25">
      <c r="N487" s="84"/>
    </row>
    <row r="488" spans="14:14" x14ac:dyDescent="0.25">
      <c r="N488" s="84"/>
    </row>
    <row r="489" spans="14:14" x14ac:dyDescent="0.25">
      <c r="N489" s="84"/>
    </row>
    <row r="490" spans="14:14" x14ac:dyDescent="0.25">
      <c r="N490" s="84"/>
    </row>
    <row r="491" spans="14:14" x14ac:dyDescent="0.25">
      <c r="N491" s="84"/>
    </row>
    <row r="492" spans="14:14" x14ac:dyDescent="0.25">
      <c r="N492" s="84"/>
    </row>
    <row r="493" spans="14:14" x14ac:dyDescent="0.25">
      <c r="N493" s="84"/>
    </row>
    <row r="494" spans="14:14" x14ac:dyDescent="0.25">
      <c r="N494" s="84"/>
    </row>
    <row r="495" spans="14:14" x14ac:dyDescent="0.25">
      <c r="N495" s="84"/>
    </row>
    <row r="496" spans="14:14" x14ac:dyDescent="0.25">
      <c r="N496" s="84"/>
    </row>
    <row r="497" spans="14:14" x14ac:dyDescent="0.25">
      <c r="N497" s="84"/>
    </row>
    <row r="498" spans="14:14" x14ac:dyDescent="0.25">
      <c r="N498" s="84"/>
    </row>
    <row r="499" spans="14:14" x14ac:dyDescent="0.25">
      <c r="N499" s="84"/>
    </row>
    <row r="500" spans="14:14" x14ac:dyDescent="0.25">
      <c r="N500" s="84"/>
    </row>
    <row r="501" spans="14:14" x14ac:dyDescent="0.25">
      <c r="N501" s="84"/>
    </row>
    <row r="502" spans="14:14" x14ac:dyDescent="0.25">
      <c r="N502" s="84"/>
    </row>
    <row r="503" spans="14:14" x14ac:dyDescent="0.25">
      <c r="N503" s="84"/>
    </row>
    <row r="504" spans="14:14" x14ac:dyDescent="0.25">
      <c r="N504" s="84"/>
    </row>
    <row r="505" spans="14:14" x14ac:dyDescent="0.25">
      <c r="N505" s="84"/>
    </row>
    <row r="506" spans="14:14" x14ac:dyDescent="0.25">
      <c r="N506" s="84"/>
    </row>
    <row r="507" spans="14:14" x14ac:dyDescent="0.25">
      <c r="N507" s="84"/>
    </row>
    <row r="508" spans="14:14" x14ac:dyDescent="0.25">
      <c r="N508" s="84"/>
    </row>
    <row r="509" spans="14:14" x14ac:dyDescent="0.25">
      <c r="N509" s="84"/>
    </row>
    <row r="510" spans="14:14" x14ac:dyDescent="0.25">
      <c r="N510" s="84"/>
    </row>
    <row r="511" spans="14:14" x14ac:dyDescent="0.25">
      <c r="N511" s="84"/>
    </row>
    <row r="512" spans="14:14" x14ac:dyDescent="0.25">
      <c r="N512" s="84"/>
    </row>
    <row r="513" spans="14:14" x14ac:dyDescent="0.25">
      <c r="N513" s="84"/>
    </row>
    <row r="514" spans="14:14" x14ac:dyDescent="0.25">
      <c r="N514" s="84"/>
    </row>
    <row r="515" spans="14:14" x14ac:dyDescent="0.25">
      <c r="N515" s="84"/>
    </row>
    <row r="516" spans="14:14" x14ac:dyDescent="0.25">
      <c r="N516" s="84"/>
    </row>
    <row r="517" spans="14:14" x14ac:dyDescent="0.25">
      <c r="N517" s="84"/>
    </row>
    <row r="518" spans="14:14" x14ac:dyDescent="0.25">
      <c r="N518" s="84"/>
    </row>
    <row r="519" spans="14:14" x14ac:dyDescent="0.25">
      <c r="N519" s="84"/>
    </row>
    <row r="520" spans="14:14" x14ac:dyDescent="0.25">
      <c r="N520" s="84"/>
    </row>
    <row r="521" spans="14:14" x14ac:dyDescent="0.25">
      <c r="N521" s="84"/>
    </row>
    <row r="522" spans="14:14" x14ac:dyDescent="0.25">
      <c r="N522" s="84"/>
    </row>
    <row r="523" spans="14:14" x14ac:dyDescent="0.25">
      <c r="N523" s="84"/>
    </row>
    <row r="524" spans="14:14" x14ac:dyDescent="0.25">
      <c r="N524" s="84"/>
    </row>
    <row r="525" spans="14:14" x14ac:dyDescent="0.25">
      <c r="N525" s="84"/>
    </row>
    <row r="526" spans="14:14" x14ac:dyDescent="0.25">
      <c r="N526" s="84"/>
    </row>
    <row r="527" spans="14:14" x14ac:dyDescent="0.25">
      <c r="N527" s="84"/>
    </row>
    <row r="528" spans="14:14" x14ac:dyDescent="0.25">
      <c r="N528" s="84"/>
    </row>
    <row r="529" spans="14:14" x14ac:dyDescent="0.25">
      <c r="N529" s="84"/>
    </row>
    <row r="530" spans="14:14" x14ac:dyDescent="0.25">
      <c r="N530" s="84"/>
    </row>
    <row r="531" spans="14:14" x14ac:dyDescent="0.25">
      <c r="N531" s="84"/>
    </row>
    <row r="532" spans="14:14" x14ac:dyDescent="0.25">
      <c r="N532" s="84"/>
    </row>
    <row r="533" spans="14:14" x14ac:dyDescent="0.25">
      <c r="N533" s="84"/>
    </row>
    <row r="534" spans="14:14" x14ac:dyDescent="0.25">
      <c r="N534" s="84"/>
    </row>
    <row r="535" spans="14:14" x14ac:dyDescent="0.25">
      <c r="N535" s="84"/>
    </row>
    <row r="536" spans="14:14" x14ac:dyDescent="0.25">
      <c r="N536" s="84"/>
    </row>
    <row r="537" spans="14:14" x14ac:dyDescent="0.25">
      <c r="N537" s="84"/>
    </row>
    <row r="538" spans="14:14" x14ac:dyDescent="0.25">
      <c r="N538" s="84"/>
    </row>
    <row r="539" spans="14:14" x14ac:dyDescent="0.25">
      <c r="N539" s="84"/>
    </row>
    <row r="540" spans="14:14" x14ac:dyDescent="0.25">
      <c r="N540" s="84"/>
    </row>
    <row r="541" spans="14:14" x14ac:dyDescent="0.25">
      <c r="N541" s="84"/>
    </row>
    <row r="542" spans="14:14" x14ac:dyDescent="0.25">
      <c r="N542" s="84"/>
    </row>
    <row r="543" spans="14:14" x14ac:dyDescent="0.25">
      <c r="N543" s="84"/>
    </row>
    <row r="544" spans="14:14" x14ac:dyDescent="0.25">
      <c r="N544" s="84"/>
    </row>
    <row r="545" spans="14:14" x14ac:dyDescent="0.25">
      <c r="N545" s="84"/>
    </row>
    <row r="546" spans="14:14" x14ac:dyDescent="0.25">
      <c r="N546" s="84"/>
    </row>
    <row r="547" spans="14:14" x14ac:dyDescent="0.25">
      <c r="N547" s="84"/>
    </row>
    <row r="548" spans="14:14" x14ac:dyDescent="0.25">
      <c r="N548" s="84"/>
    </row>
    <row r="549" spans="14:14" x14ac:dyDescent="0.25">
      <c r="N549" s="84"/>
    </row>
    <row r="550" spans="14:14" x14ac:dyDescent="0.25">
      <c r="N550" s="84"/>
    </row>
    <row r="551" spans="14:14" x14ac:dyDescent="0.25">
      <c r="N551" s="84"/>
    </row>
    <row r="552" spans="14:14" x14ac:dyDescent="0.25">
      <c r="N552" s="84"/>
    </row>
    <row r="553" spans="14:14" x14ac:dyDescent="0.25">
      <c r="N553" s="84"/>
    </row>
    <row r="554" spans="14:14" x14ac:dyDescent="0.25">
      <c r="N554" s="84"/>
    </row>
    <row r="555" spans="14:14" x14ac:dyDescent="0.25">
      <c r="N555" s="84"/>
    </row>
    <row r="556" spans="14:14" x14ac:dyDescent="0.25">
      <c r="N556" s="84"/>
    </row>
    <row r="557" spans="14:14" x14ac:dyDescent="0.25">
      <c r="N557" s="84"/>
    </row>
    <row r="558" spans="14:14" x14ac:dyDescent="0.25">
      <c r="N558" s="84"/>
    </row>
    <row r="559" spans="14:14" x14ac:dyDescent="0.25">
      <c r="N559" s="84"/>
    </row>
    <row r="560" spans="14:14" x14ac:dyDescent="0.25">
      <c r="N560" s="84"/>
    </row>
    <row r="561" spans="14:14" x14ac:dyDescent="0.25">
      <c r="N561" s="84"/>
    </row>
    <row r="562" spans="14:14" x14ac:dyDescent="0.25">
      <c r="N562" s="84"/>
    </row>
    <row r="563" spans="14:14" x14ac:dyDescent="0.25">
      <c r="N563" s="84"/>
    </row>
    <row r="564" spans="14:14" x14ac:dyDescent="0.25">
      <c r="N564" s="84"/>
    </row>
    <row r="565" spans="14:14" x14ac:dyDescent="0.25">
      <c r="N565" s="84"/>
    </row>
    <row r="566" spans="14:14" x14ac:dyDescent="0.25">
      <c r="N566" s="84"/>
    </row>
    <row r="567" spans="14:14" x14ac:dyDescent="0.25">
      <c r="N567" s="84"/>
    </row>
    <row r="568" spans="14:14" x14ac:dyDescent="0.25">
      <c r="N568" s="84"/>
    </row>
    <row r="569" spans="14:14" x14ac:dyDescent="0.25">
      <c r="N569" s="84"/>
    </row>
    <row r="570" spans="14:14" x14ac:dyDescent="0.25">
      <c r="N570" s="84"/>
    </row>
    <row r="571" spans="14:14" x14ac:dyDescent="0.25">
      <c r="N571" s="84"/>
    </row>
    <row r="572" spans="14:14" x14ac:dyDescent="0.25">
      <c r="N572" s="84"/>
    </row>
    <row r="573" spans="14:14" x14ac:dyDescent="0.25">
      <c r="N573" s="84"/>
    </row>
    <row r="574" spans="14:14" x14ac:dyDescent="0.25">
      <c r="N574" s="84"/>
    </row>
    <row r="575" spans="14:14" x14ac:dyDescent="0.25">
      <c r="N575" s="84"/>
    </row>
    <row r="576" spans="14:14" x14ac:dyDescent="0.25">
      <c r="N576" s="84"/>
    </row>
    <row r="577" spans="14:14" x14ac:dyDescent="0.25">
      <c r="N577" s="84"/>
    </row>
    <row r="578" spans="14:14" x14ac:dyDescent="0.25">
      <c r="N578" s="84"/>
    </row>
    <row r="579" spans="14:14" x14ac:dyDescent="0.25">
      <c r="N579" s="84"/>
    </row>
    <row r="580" spans="14:14" x14ac:dyDescent="0.25">
      <c r="N580" s="84"/>
    </row>
    <row r="581" spans="14:14" x14ac:dyDescent="0.25">
      <c r="N581" s="84"/>
    </row>
    <row r="582" spans="14:14" x14ac:dyDescent="0.25">
      <c r="N582" s="84"/>
    </row>
    <row r="583" spans="14:14" x14ac:dyDescent="0.25">
      <c r="N583" s="84"/>
    </row>
    <row r="584" spans="14:14" x14ac:dyDescent="0.25">
      <c r="N584" s="84"/>
    </row>
    <row r="585" spans="14:14" x14ac:dyDescent="0.25">
      <c r="N585" s="84"/>
    </row>
    <row r="586" spans="14:14" x14ac:dyDescent="0.25">
      <c r="N586" s="84"/>
    </row>
    <row r="587" spans="14:14" x14ac:dyDescent="0.25">
      <c r="N587" s="84"/>
    </row>
    <row r="588" spans="14:14" x14ac:dyDescent="0.25">
      <c r="N588" s="84"/>
    </row>
    <row r="589" spans="14:14" x14ac:dyDescent="0.25">
      <c r="N589" s="84"/>
    </row>
    <row r="590" spans="14:14" x14ac:dyDescent="0.25">
      <c r="N590" s="84"/>
    </row>
    <row r="591" spans="14:14" x14ac:dyDescent="0.25">
      <c r="N591" s="84"/>
    </row>
    <row r="592" spans="14:14" x14ac:dyDescent="0.25">
      <c r="N592" s="84"/>
    </row>
    <row r="593" spans="14:14" x14ac:dyDescent="0.25">
      <c r="N593" s="84"/>
    </row>
    <row r="594" spans="14:14" x14ac:dyDescent="0.25">
      <c r="N594" s="84"/>
    </row>
    <row r="595" spans="14:14" x14ac:dyDescent="0.25">
      <c r="N595" s="84"/>
    </row>
    <row r="596" spans="14:14" x14ac:dyDescent="0.25">
      <c r="N596" s="84"/>
    </row>
    <row r="597" spans="14:14" x14ac:dyDescent="0.25">
      <c r="N597" s="84"/>
    </row>
    <row r="598" spans="14:14" x14ac:dyDescent="0.25">
      <c r="N598" s="84"/>
    </row>
    <row r="599" spans="14:14" x14ac:dyDescent="0.25">
      <c r="N599" s="84"/>
    </row>
    <row r="600" spans="14:14" x14ac:dyDescent="0.25">
      <c r="N600" s="84"/>
    </row>
    <row r="601" spans="14:14" x14ac:dyDescent="0.25">
      <c r="N601" s="84"/>
    </row>
    <row r="602" spans="14:14" x14ac:dyDescent="0.25">
      <c r="N602" s="84"/>
    </row>
    <row r="603" spans="14:14" x14ac:dyDescent="0.25">
      <c r="N603" s="84"/>
    </row>
    <row r="604" spans="14:14" x14ac:dyDescent="0.25">
      <c r="N604" s="84"/>
    </row>
    <row r="605" spans="14:14" x14ac:dyDescent="0.25">
      <c r="N605" s="84"/>
    </row>
    <row r="606" spans="14:14" x14ac:dyDescent="0.25">
      <c r="N606" s="84"/>
    </row>
    <row r="607" spans="14:14" x14ac:dyDescent="0.25">
      <c r="N607" s="84"/>
    </row>
    <row r="608" spans="14:14" x14ac:dyDescent="0.25">
      <c r="N608" s="84"/>
    </row>
    <row r="609" spans="14:14" x14ac:dyDescent="0.25">
      <c r="N609" s="84"/>
    </row>
    <row r="610" spans="14:14" x14ac:dyDescent="0.25">
      <c r="N610" s="84"/>
    </row>
    <row r="611" spans="14:14" x14ac:dyDescent="0.25">
      <c r="N611" s="84"/>
    </row>
    <row r="612" spans="14:14" x14ac:dyDescent="0.25">
      <c r="N612" s="84"/>
    </row>
    <row r="613" spans="14:14" x14ac:dyDescent="0.25">
      <c r="N613" s="84"/>
    </row>
    <row r="614" spans="14:14" x14ac:dyDescent="0.25">
      <c r="N614" s="84"/>
    </row>
    <row r="615" spans="14:14" x14ac:dyDescent="0.25">
      <c r="N615" s="84"/>
    </row>
    <row r="616" spans="14:14" x14ac:dyDescent="0.25">
      <c r="N616" s="84"/>
    </row>
    <row r="617" spans="14:14" x14ac:dyDescent="0.25">
      <c r="N617" s="84"/>
    </row>
    <row r="618" spans="14:14" x14ac:dyDescent="0.25">
      <c r="N618" s="84"/>
    </row>
    <row r="619" spans="14:14" x14ac:dyDescent="0.25">
      <c r="N619" s="84"/>
    </row>
    <row r="620" spans="14:14" x14ac:dyDescent="0.25">
      <c r="N620" s="84"/>
    </row>
    <row r="621" spans="14:14" x14ac:dyDescent="0.25">
      <c r="N621" s="84"/>
    </row>
    <row r="622" spans="14:14" x14ac:dyDescent="0.25">
      <c r="N622" s="84"/>
    </row>
    <row r="623" spans="14:14" x14ac:dyDescent="0.25">
      <c r="N623" s="84"/>
    </row>
    <row r="624" spans="14:14" x14ac:dyDescent="0.25">
      <c r="N624" s="84"/>
    </row>
    <row r="625" spans="14:14" x14ac:dyDescent="0.25">
      <c r="N625" s="84"/>
    </row>
    <row r="626" spans="14:14" x14ac:dyDescent="0.25">
      <c r="N626" s="84"/>
    </row>
    <row r="627" spans="14:14" x14ac:dyDescent="0.25">
      <c r="N627" s="84"/>
    </row>
    <row r="628" spans="14:14" x14ac:dyDescent="0.25">
      <c r="N628" s="84"/>
    </row>
    <row r="629" spans="14:14" x14ac:dyDescent="0.25">
      <c r="N629" s="84"/>
    </row>
    <row r="630" spans="14:14" x14ac:dyDescent="0.25">
      <c r="N630" s="84"/>
    </row>
    <row r="631" spans="14:14" x14ac:dyDescent="0.25">
      <c r="N631" s="84"/>
    </row>
    <row r="632" spans="14:14" x14ac:dyDescent="0.25">
      <c r="N632" s="84"/>
    </row>
    <row r="633" spans="14:14" x14ac:dyDescent="0.25">
      <c r="N633" s="84"/>
    </row>
    <row r="634" spans="14:14" x14ac:dyDescent="0.25">
      <c r="N634" s="84"/>
    </row>
    <row r="635" spans="14:14" x14ac:dyDescent="0.25">
      <c r="N635" s="84"/>
    </row>
    <row r="636" spans="14:14" x14ac:dyDescent="0.25">
      <c r="N636" s="84"/>
    </row>
    <row r="637" spans="14:14" x14ac:dyDescent="0.25">
      <c r="N637" s="84"/>
    </row>
    <row r="638" spans="14:14" x14ac:dyDescent="0.25">
      <c r="N638" s="84"/>
    </row>
    <row r="639" spans="14:14" x14ac:dyDescent="0.25">
      <c r="N639" s="84"/>
    </row>
    <row r="640" spans="14:14" x14ac:dyDescent="0.25">
      <c r="N640" s="84"/>
    </row>
    <row r="641" spans="14:14" x14ac:dyDescent="0.25">
      <c r="N641" s="84"/>
    </row>
    <row r="642" spans="14:14" x14ac:dyDescent="0.25">
      <c r="N642" s="84"/>
    </row>
    <row r="643" spans="14:14" x14ac:dyDescent="0.25">
      <c r="N643" s="84"/>
    </row>
    <row r="644" spans="14:14" x14ac:dyDescent="0.25">
      <c r="N644" s="84"/>
    </row>
    <row r="645" spans="14:14" x14ac:dyDescent="0.25">
      <c r="N645" s="84"/>
    </row>
    <row r="646" spans="14:14" x14ac:dyDescent="0.25">
      <c r="N646" s="84"/>
    </row>
    <row r="647" spans="14:14" x14ac:dyDescent="0.25">
      <c r="N647" s="84"/>
    </row>
    <row r="648" spans="14:14" x14ac:dyDescent="0.25">
      <c r="N648" s="84"/>
    </row>
    <row r="649" spans="14:14" x14ac:dyDescent="0.25">
      <c r="N649" s="84"/>
    </row>
    <row r="650" spans="14:14" x14ac:dyDescent="0.25">
      <c r="N650" s="84"/>
    </row>
    <row r="651" spans="14:14" x14ac:dyDescent="0.25">
      <c r="N651" s="84"/>
    </row>
    <row r="652" spans="14:14" x14ac:dyDescent="0.25">
      <c r="N652" s="84"/>
    </row>
    <row r="653" spans="14:14" x14ac:dyDescent="0.25">
      <c r="N653" s="84"/>
    </row>
    <row r="654" spans="14:14" x14ac:dyDescent="0.25">
      <c r="N654" s="84"/>
    </row>
    <row r="655" spans="14:14" x14ac:dyDescent="0.25">
      <c r="N655" s="84"/>
    </row>
    <row r="656" spans="14:14" x14ac:dyDescent="0.25">
      <c r="N656" s="84"/>
    </row>
    <row r="657" spans="14:14" x14ac:dyDescent="0.25">
      <c r="N657" s="84"/>
    </row>
    <row r="658" spans="14:14" x14ac:dyDescent="0.25">
      <c r="N658" s="84"/>
    </row>
    <row r="659" spans="14:14" x14ac:dyDescent="0.25">
      <c r="N659" s="84"/>
    </row>
    <row r="660" spans="14:14" x14ac:dyDescent="0.25">
      <c r="N660" s="84"/>
    </row>
    <row r="661" spans="14:14" x14ac:dyDescent="0.25">
      <c r="N661" s="84"/>
    </row>
    <row r="662" spans="14:14" x14ac:dyDescent="0.25">
      <c r="N662" s="84"/>
    </row>
    <row r="663" spans="14:14" x14ac:dyDescent="0.25">
      <c r="N663" s="84"/>
    </row>
    <row r="664" spans="14:14" x14ac:dyDescent="0.25">
      <c r="N664" s="84"/>
    </row>
    <row r="665" spans="14:14" x14ac:dyDescent="0.25">
      <c r="N665" s="84"/>
    </row>
    <row r="666" spans="14:14" x14ac:dyDescent="0.25">
      <c r="N666" s="84"/>
    </row>
    <row r="667" spans="14:14" x14ac:dyDescent="0.25">
      <c r="N667" s="84"/>
    </row>
    <row r="668" spans="14:14" x14ac:dyDescent="0.25">
      <c r="N668" s="84"/>
    </row>
    <row r="669" spans="14:14" x14ac:dyDescent="0.25">
      <c r="N669" s="84"/>
    </row>
    <row r="670" spans="14:14" x14ac:dyDescent="0.25">
      <c r="N670" s="84"/>
    </row>
    <row r="671" spans="14:14" x14ac:dyDescent="0.25">
      <c r="N671" s="84"/>
    </row>
    <row r="672" spans="14:14" x14ac:dyDescent="0.25">
      <c r="N672" s="84"/>
    </row>
    <row r="673" spans="14:14" x14ac:dyDescent="0.25">
      <c r="N673" s="84"/>
    </row>
    <row r="674" spans="14:14" x14ac:dyDescent="0.25">
      <c r="N674" s="84"/>
    </row>
    <row r="675" spans="14:14" x14ac:dyDescent="0.25">
      <c r="N675" s="84"/>
    </row>
    <row r="676" spans="14:14" x14ac:dyDescent="0.25">
      <c r="N676" s="84"/>
    </row>
    <row r="677" spans="14:14" x14ac:dyDescent="0.25">
      <c r="N677" s="84"/>
    </row>
    <row r="678" spans="14:14" x14ac:dyDescent="0.25">
      <c r="N678" s="84"/>
    </row>
    <row r="679" spans="14:14" x14ac:dyDescent="0.25">
      <c r="N679" s="84"/>
    </row>
    <row r="680" spans="14:14" x14ac:dyDescent="0.25">
      <c r="N680" s="84"/>
    </row>
    <row r="681" spans="14:14" x14ac:dyDescent="0.25">
      <c r="N681" s="84"/>
    </row>
    <row r="682" spans="14:14" x14ac:dyDescent="0.25">
      <c r="N682" s="84"/>
    </row>
    <row r="683" spans="14:14" x14ac:dyDescent="0.25">
      <c r="N683" s="84"/>
    </row>
    <row r="684" spans="14:14" x14ac:dyDescent="0.25">
      <c r="N684" s="84"/>
    </row>
    <row r="685" spans="14:14" x14ac:dyDescent="0.25">
      <c r="N685" s="84"/>
    </row>
    <row r="686" spans="14:14" x14ac:dyDescent="0.25">
      <c r="N686" s="84"/>
    </row>
    <row r="687" spans="14:14" x14ac:dyDescent="0.25">
      <c r="N687" s="84"/>
    </row>
    <row r="688" spans="14:14" x14ac:dyDescent="0.25">
      <c r="N688" s="84"/>
    </row>
    <row r="689" spans="14:14" x14ac:dyDescent="0.25">
      <c r="N689" s="84"/>
    </row>
    <row r="690" spans="14:14" x14ac:dyDescent="0.25">
      <c r="N690" s="84"/>
    </row>
    <row r="691" spans="14:14" x14ac:dyDescent="0.25">
      <c r="N691" s="84"/>
    </row>
    <row r="692" spans="14:14" x14ac:dyDescent="0.25">
      <c r="N692" s="84"/>
    </row>
    <row r="693" spans="14:14" x14ac:dyDescent="0.25">
      <c r="N693" s="84"/>
    </row>
    <row r="694" spans="14:14" x14ac:dyDescent="0.25">
      <c r="N694" s="84"/>
    </row>
    <row r="695" spans="14:14" x14ac:dyDescent="0.25">
      <c r="N695" s="84"/>
    </row>
    <row r="696" spans="14:14" x14ac:dyDescent="0.25">
      <c r="N696" s="84"/>
    </row>
    <row r="697" spans="14:14" x14ac:dyDescent="0.25">
      <c r="N697" s="84"/>
    </row>
    <row r="698" spans="14:14" x14ac:dyDescent="0.25">
      <c r="N698" s="84"/>
    </row>
    <row r="699" spans="14:14" x14ac:dyDescent="0.25">
      <c r="N699" s="84"/>
    </row>
    <row r="700" spans="14:14" x14ac:dyDescent="0.25">
      <c r="N700" s="84"/>
    </row>
    <row r="701" spans="14:14" x14ac:dyDescent="0.25">
      <c r="N701" s="84"/>
    </row>
    <row r="702" spans="14:14" x14ac:dyDescent="0.25">
      <c r="N702" s="84"/>
    </row>
    <row r="703" spans="14:14" x14ac:dyDescent="0.25">
      <c r="N703" s="84"/>
    </row>
    <row r="704" spans="14:14" x14ac:dyDescent="0.25">
      <c r="N704" s="84"/>
    </row>
    <row r="705" spans="14:14" x14ac:dyDescent="0.25">
      <c r="N705" s="84"/>
    </row>
    <row r="706" spans="14:14" x14ac:dyDescent="0.25">
      <c r="N706" s="84"/>
    </row>
    <row r="707" spans="14:14" x14ac:dyDescent="0.25">
      <c r="N707" s="84"/>
    </row>
    <row r="708" spans="14:14" x14ac:dyDescent="0.25">
      <c r="N708" s="84"/>
    </row>
    <row r="709" spans="14:14" x14ac:dyDescent="0.25">
      <c r="N709" s="84"/>
    </row>
    <row r="710" spans="14:14" x14ac:dyDescent="0.25">
      <c r="N710" s="84"/>
    </row>
    <row r="711" spans="14:14" x14ac:dyDescent="0.25">
      <c r="N711" s="84"/>
    </row>
    <row r="712" spans="14:14" x14ac:dyDescent="0.25">
      <c r="N712" s="84"/>
    </row>
    <row r="713" spans="14:14" x14ac:dyDescent="0.25">
      <c r="N713" s="84"/>
    </row>
    <row r="714" spans="14:14" x14ac:dyDescent="0.25">
      <c r="N714" s="84"/>
    </row>
    <row r="715" spans="14:14" x14ac:dyDescent="0.25">
      <c r="N715" s="84"/>
    </row>
    <row r="716" spans="14:14" x14ac:dyDescent="0.25">
      <c r="N716" s="84"/>
    </row>
    <row r="717" spans="14:14" x14ac:dyDescent="0.25">
      <c r="N717" s="84"/>
    </row>
    <row r="718" spans="14:14" x14ac:dyDescent="0.25">
      <c r="N718" s="84"/>
    </row>
    <row r="719" spans="14:14" x14ac:dyDescent="0.25">
      <c r="N719" s="84"/>
    </row>
    <row r="720" spans="14:14" x14ac:dyDescent="0.25">
      <c r="N720" s="84"/>
    </row>
    <row r="721" spans="14:14" x14ac:dyDescent="0.25">
      <c r="N721" s="84"/>
    </row>
    <row r="722" spans="14:14" x14ac:dyDescent="0.25">
      <c r="N722" s="84"/>
    </row>
    <row r="723" spans="14:14" x14ac:dyDescent="0.25">
      <c r="N723" s="84"/>
    </row>
    <row r="724" spans="14:14" x14ac:dyDescent="0.25">
      <c r="N724" s="84"/>
    </row>
    <row r="725" spans="14:14" x14ac:dyDescent="0.25">
      <c r="N725" s="84"/>
    </row>
    <row r="726" spans="14:14" x14ac:dyDescent="0.25">
      <c r="N726" s="84"/>
    </row>
    <row r="727" spans="14:14" x14ac:dyDescent="0.25">
      <c r="N727" s="84"/>
    </row>
    <row r="728" spans="14:14" x14ac:dyDescent="0.25">
      <c r="N728" s="84"/>
    </row>
    <row r="729" spans="14:14" x14ac:dyDescent="0.25">
      <c r="N729" s="84"/>
    </row>
    <row r="730" spans="14:14" x14ac:dyDescent="0.25">
      <c r="N730" s="84"/>
    </row>
    <row r="731" spans="14:14" x14ac:dyDescent="0.25">
      <c r="N731" s="84"/>
    </row>
    <row r="732" spans="14:14" x14ac:dyDescent="0.25">
      <c r="N732" s="84"/>
    </row>
    <row r="733" spans="14:14" x14ac:dyDescent="0.25">
      <c r="N733" s="84"/>
    </row>
    <row r="734" spans="14:14" x14ac:dyDescent="0.25">
      <c r="N734" s="84"/>
    </row>
    <row r="735" spans="14:14" x14ac:dyDescent="0.25">
      <c r="N735" s="84"/>
    </row>
    <row r="736" spans="14:14" x14ac:dyDescent="0.25">
      <c r="N736" s="84"/>
    </row>
    <row r="737" spans="14:14" x14ac:dyDescent="0.25">
      <c r="N737" s="84"/>
    </row>
    <row r="738" spans="14:14" x14ac:dyDescent="0.25">
      <c r="N738" s="84"/>
    </row>
    <row r="739" spans="14:14" x14ac:dyDescent="0.25">
      <c r="N739" s="84"/>
    </row>
    <row r="740" spans="14:14" x14ac:dyDescent="0.25">
      <c r="N740" s="84"/>
    </row>
    <row r="741" spans="14:14" x14ac:dyDescent="0.25">
      <c r="N741" s="84"/>
    </row>
    <row r="742" spans="14:14" x14ac:dyDescent="0.25">
      <c r="N742" s="84"/>
    </row>
    <row r="743" spans="14:14" x14ac:dyDescent="0.25">
      <c r="N743" s="84"/>
    </row>
    <row r="744" spans="14:14" x14ac:dyDescent="0.25">
      <c r="N744" s="84"/>
    </row>
    <row r="745" spans="14:14" x14ac:dyDescent="0.25">
      <c r="N745" s="84"/>
    </row>
    <row r="746" spans="14:14" x14ac:dyDescent="0.25">
      <c r="N746" s="84"/>
    </row>
    <row r="747" spans="14:14" x14ac:dyDescent="0.25">
      <c r="N747" s="84"/>
    </row>
    <row r="748" spans="14:14" x14ac:dyDescent="0.25">
      <c r="N748" s="84"/>
    </row>
    <row r="749" spans="14:14" x14ac:dyDescent="0.25">
      <c r="N749" s="84"/>
    </row>
    <row r="750" spans="14:14" x14ac:dyDescent="0.25">
      <c r="N750" s="84"/>
    </row>
    <row r="751" spans="14:14" x14ac:dyDescent="0.25">
      <c r="N751" s="84"/>
    </row>
    <row r="752" spans="14:14" x14ac:dyDescent="0.25">
      <c r="N752" s="84"/>
    </row>
    <row r="753" spans="14:14" x14ac:dyDescent="0.25">
      <c r="N753" s="84"/>
    </row>
    <row r="754" spans="14:14" x14ac:dyDescent="0.25">
      <c r="N754" s="84"/>
    </row>
    <row r="755" spans="14:14" x14ac:dyDescent="0.25">
      <c r="N755" s="84"/>
    </row>
    <row r="756" spans="14:14" x14ac:dyDescent="0.25">
      <c r="N756" s="84"/>
    </row>
    <row r="757" spans="14:14" x14ac:dyDescent="0.25">
      <c r="N757" s="84"/>
    </row>
    <row r="758" spans="14:14" x14ac:dyDescent="0.25">
      <c r="N758" s="84"/>
    </row>
    <row r="759" spans="14:14" x14ac:dyDescent="0.25">
      <c r="N759" s="84"/>
    </row>
    <row r="760" spans="14:14" x14ac:dyDescent="0.25">
      <c r="N760" s="84"/>
    </row>
    <row r="761" spans="14:14" x14ac:dyDescent="0.25">
      <c r="N761" s="84"/>
    </row>
    <row r="762" spans="14:14" x14ac:dyDescent="0.25">
      <c r="N762" s="84"/>
    </row>
    <row r="763" spans="14:14" x14ac:dyDescent="0.25">
      <c r="N763" s="84"/>
    </row>
    <row r="764" spans="14:14" x14ac:dyDescent="0.25">
      <c r="N764" s="84"/>
    </row>
    <row r="765" spans="14:14" x14ac:dyDescent="0.25">
      <c r="N765" s="84"/>
    </row>
    <row r="766" spans="14:14" x14ac:dyDescent="0.25">
      <c r="N766" s="84"/>
    </row>
    <row r="767" spans="14:14" x14ac:dyDescent="0.25">
      <c r="N767" s="84"/>
    </row>
    <row r="768" spans="14:14" x14ac:dyDescent="0.25">
      <c r="N768" s="84"/>
    </row>
    <row r="769" spans="14:14" x14ac:dyDescent="0.25">
      <c r="N769" s="84"/>
    </row>
    <row r="770" spans="14:14" x14ac:dyDescent="0.25">
      <c r="N770" s="84"/>
    </row>
    <row r="771" spans="14:14" x14ac:dyDescent="0.25">
      <c r="N771" s="84"/>
    </row>
    <row r="772" spans="14:14" x14ac:dyDescent="0.25">
      <c r="N772" s="84"/>
    </row>
    <row r="773" spans="14:14" x14ac:dyDescent="0.25">
      <c r="N773" s="84"/>
    </row>
    <row r="774" spans="14:14" x14ac:dyDescent="0.25">
      <c r="N774" s="84"/>
    </row>
    <row r="775" spans="14:14" x14ac:dyDescent="0.25">
      <c r="N775" s="84"/>
    </row>
    <row r="776" spans="14:14" x14ac:dyDescent="0.25">
      <c r="N776" s="84"/>
    </row>
    <row r="777" spans="14:14" x14ac:dyDescent="0.25">
      <c r="N777" s="84"/>
    </row>
    <row r="778" spans="14:14" x14ac:dyDescent="0.25">
      <c r="N778" s="84"/>
    </row>
    <row r="779" spans="14:14" x14ac:dyDescent="0.25">
      <c r="N779" s="84"/>
    </row>
    <row r="780" spans="14:14" x14ac:dyDescent="0.25">
      <c r="N780" s="84"/>
    </row>
    <row r="781" spans="14:14" x14ac:dyDescent="0.25">
      <c r="N781" s="84"/>
    </row>
    <row r="782" spans="14:14" x14ac:dyDescent="0.25">
      <c r="N782" s="84"/>
    </row>
    <row r="783" spans="14:14" x14ac:dyDescent="0.25">
      <c r="N783" s="84"/>
    </row>
    <row r="784" spans="14:14" x14ac:dyDescent="0.25">
      <c r="N784" s="84"/>
    </row>
    <row r="785" spans="14:14" x14ac:dyDescent="0.25">
      <c r="N785" s="84"/>
    </row>
    <row r="786" spans="14:14" x14ac:dyDescent="0.25">
      <c r="N786" s="84"/>
    </row>
    <row r="787" spans="14:14" x14ac:dyDescent="0.25">
      <c r="N787" s="84"/>
    </row>
    <row r="788" spans="14:14" x14ac:dyDescent="0.25">
      <c r="N788" s="84"/>
    </row>
    <row r="789" spans="14:14" x14ac:dyDescent="0.25">
      <c r="N789" s="84"/>
    </row>
    <row r="790" spans="14:14" x14ac:dyDescent="0.25">
      <c r="N790" s="84"/>
    </row>
    <row r="791" spans="14:14" x14ac:dyDescent="0.25">
      <c r="N791" s="84"/>
    </row>
    <row r="792" spans="14:14" x14ac:dyDescent="0.25">
      <c r="N792" s="84"/>
    </row>
    <row r="793" spans="14:14" x14ac:dyDescent="0.25">
      <c r="N793" s="84"/>
    </row>
    <row r="794" spans="14:14" x14ac:dyDescent="0.25">
      <c r="N794" s="84"/>
    </row>
    <row r="795" spans="14:14" x14ac:dyDescent="0.25">
      <c r="N795" s="84"/>
    </row>
    <row r="796" spans="14:14" x14ac:dyDescent="0.25">
      <c r="N796" s="84"/>
    </row>
    <row r="797" spans="14:14" x14ac:dyDescent="0.25">
      <c r="N797" s="84"/>
    </row>
    <row r="798" spans="14:14" x14ac:dyDescent="0.25">
      <c r="N798" s="84"/>
    </row>
    <row r="799" spans="14:14" x14ac:dyDescent="0.25">
      <c r="N799" s="84"/>
    </row>
    <row r="800" spans="14:14" x14ac:dyDescent="0.25">
      <c r="N800" s="84"/>
    </row>
    <row r="801" spans="14:14" x14ac:dyDescent="0.25">
      <c r="N801" s="84"/>
    </row>
    <row r="802" spans="14:14" x14ac:dyDescent="0.25">
      <c r="N802" s="84"/>
    </row>
    <row r="803" spans="14:14" x14ac:dyDescent="0.25">
      <c r="N803" s="84"/>
    </row>
    <row r="804" spans="14:14" x14ac:dyDescent="0.25">
      <c r="N804" s="84"/>
    </row>
    <row r="805" spans="14:14" x14ac:dyDescent="0.25">
      <c r="N805" s="84"/>
    </row>
    <row r="806" spans="14:14" x14ac:dyDescent="0.25">
      <c r="N806" s="84"/>
    </row>
    <row r="807" spans="14:14" x14ac:dyDescent="0.25">
      <c r="N807" s="84"/>
    </row>
    <row r="808" spans="14:14" x14ac:dyDescent="0.25">
      <c r="N808" s="84"/>
    </row>
    <row r="809" spans="14:14" x14ac:dyDescent="0.25">
      <c r="N809" s="84"/>
    </row>
    <row r="810" spans="14:14" x14ac:dyDescent="0.25">
      <c r="N810" s="84"/>
    </row>
    <row r="811" spans="14:14" x14ac:dyDescent="0.25">
      <c r="N811" s="84"/>
    </row>
    <row r="812" spans="14:14" x14ac:dyDescent="0.25">
      <c r="N812" s="84"/>
    </row>
    <row r="813" spans="14:14" x14ac:dyDescent="0.25">
      <c r="N813" s="84"/>
    </row>
    <row r="814" spans="14:14" x14ac:dyDescent="0.25">
      <c r="N814" s="84"/>
    </row>
    <row r="815" spans="14:14" x14ac:dyDescent="0.25">
      <c r="N815" s="84"/>
    </row>
    <row r="816" spans="14:14" x14ac:dyDescent="0.25">
      <c r="N816" s="84"/>
    </row>
    <row r="817" spans="14:14" x14ac:dyDescent="0.25">
      <c r="N817" s="84"/>
    </row>
    <row r="818" spans="14:14" x14ac:dyDescent="0.25">
      <c r="N818" s="84"/>
    </row>
    <row r="819" spans="14:14" x14ac:dyDescent="0.25">
      <c r="N819" s="84"/>
    </row>
    <row r="820" spans="14:14" x14ac:dyDescent="0.25">
      <c r="N820" s="84"/>
    </row>
    <row r="821" spans="14:14" x14ac:dyDescent="0.25">
      <c r="N821" s="84"/>
    </row>
    <row r="822" spans="14:14" x14ac:dyDescent="0.25">
      <c r="N822" s="84"/>
    </row>
    <row r="823" spans="14:14" x14ac:dyDescent="0.25">
      <c r="N823" s="84"/>
    </row>
    <row r="824" spans="14:14" x14ac:dyDescent="0.25">
      <c r="N824" s="84"/>
    </row>
    <row r="825" spans="14:14" x14ac:dyDescent="0.25">
      <c r="N825" s="84"/>
    </row>
    <row r="826" spans="14:14" x14ac:dyDescent="0.25">
      <c r="N826" s="84"/>
    </row>
    <row r="827" spans="14:14" x14ac:dyDescent="0.25">
      <c r="N827" s="84"/>
    </row>
    <row r="828" spans="14:14" x14ac:dyDescent="0.25">
      <c r="N828" s="84"/>
    </row>
    <row r="829" spans="14:14" x14ac:dyDescent="0.25">
      <c r="N829" s="84"/>
    </row>
    <row r="830" spans="14:14" x14ac:dyDescent="0.25">
      <c r="N830" s="84"/>
    </row>
    <row r="831" spans="14:14" x14ac:dyDescent="0.25">
      <c r="N831" s="84"/>
    </row>
    <row r="832" spans="14:14" x14ac:dyDescent="0.25">
      <c r="N832" s="84"/>
    </row>
    <row r="833" spans="14:14" x14ac:dyDescent="0.25">
      <c r="N833" s="84"/>
    </row>
    <row r="834" spans="14:14" x14ac:dyDescent="0.25">
      <c r="N834" s="84"/>
    </row>
    <row r="835" spans="14:14" x14ac:dyDescent="0.25">
      <c r="N835" s="84"/>
    </row>
    <row r="836" spans="14:14" x14ac:dyDescent="0.25">
      <c r="N836" s="84"/>
    </row>
    <row r="837" spans="14:14" x14ac:dyDescent="0.25">
      <c r="N837" s="84"/>
    </row>
    <row r="838" spans="14:14" x14ac:dyDescent="0.25">
      <c r="N838" s="84"/>
    </row>
    <row r="839" spans="14:14" x14ac:dyDescent="0.25">
      <c r="N839" s="84"/>
    </row>
    <row r="840" spans="14:14" x14ac:dyDescent="0.25">
      <c r="N840" s="84"/>
    </row>
    <row r="841" spans="14:14" x14ac:dyDescent="0.25">
      <c r="N841" s="84"/>
    </row>
    <row r="842" spans="14:14" x14ac:dyDescent="0.25">
      <c r="N842" s="84"/>
    </row>
    <row r="843" spans="14:14" x14ac:dyDescent="0.25">
      <c r="N843" s="84"/>
    </row>
    <row r="844" spans="14:14" x14ac:dyDescent="0.25">
      <c r="N844" s="84"/>
    </row>
    <row r="845" spans="14:14" x14ac:dyDescent="0.25">
      <c r="N845" s="84"/>
    </row>
    <row r="846" spans="14:14" x14ac:dyDescent="0.25">
      <c r="N846" s="84"/>
    </row>
    <row r="847" spans="14:14" x14ac:dyDescent="0.25">
      <c r="N847" s="84"/>
    </row>
    <row r="848" spans="14:14" x14ac:dyDescent="0.25">
      <c r="N848" s="84"/>
    </row>
    <row r="849" spans="14:14" x14ac:dyDescent="0.25">
      <c r="N849" s="84"/>
    </row>
    <row r="850" spans="14:14" x14ac:dyDescent="0.25">
      <c r="N850" s="84"/>
    </row>
    <row r="851" spans="14:14" x14ac:dyDescent="0.25">
      <c r="N851" s="84"/>
    </row>
    <row r="852" spans="14:14" x14ac:dyDescent="0.25">
      <c r="N852" s="84"/>
    </row>
    <row r="853" spans="14:14" x14ac:dyDescent="0.25">
      <c r="N853" s="84"/>
    </row>
    <row r="854" spans="14:14" x14ac:dyDescent="0.25">
      <c r="N854" s="84"/>
    </row>
    <row r="855" spans="14:14" x14ac:dyDescent="0.25">
      <c r="N855" s="84"/>
    </row>
    <row r="856" spans="14:14" x14ac:dyDescent="0.25">
      <c r="N856" s="84"/>
    </row>
    <row r="857" spans="14:14" x14ac:dyDescent="0.25">
      <c r="N857" s="84"/>
    </row>
    <row r="858" spans="14:14" x14ac:dyDescent="0.25">
      <c r="N858" s="84"/>
    </row>
    <row r="859" spans="14:14" x14ac:dyDescent="0.25">
      <c r="N859" s="84"/>
    </row>
    <row r="860" spans="14:14" x14ac:dyDescent="0.25">
      <c r="N860" s="84"/>
    </row>
    <row r="861" spans="14:14" x14ac:dyDescent="0.25">
      <c r="N861" s="84"/>
    </row>
    <row r="862" spans="14:14" x14ac:dyDescent="0.25">
      <c r="N862" s="84"/>
    </row>
    <row r="863" spans="14:14" x14ac:dyDescent="0.25">
      <c r="N863" s="84"/>
    </row>
    <row r="864" spans="14:14" x14ac:dyDescent="0.25">
      <c r="N864" s="84"/>
    </row>
    <row r="865" spans="14:14" x14ac:dyDescent="0.25">
      <c r="N865" s="84"/>
    </row>
    <row r="866" spans="14:14" x14ac:dyDescent="0.25">
      <c r="N866" s="84"/>
    </row>
    <row r="867" spans="14:14" x14ac:dyDescent="0.25">
      <c r="N867" s="84"/>
    </row>
    <row r="868" spans="14:14" x14ac:dyDescent="0.25">
      <c r="N868" s="84"/>
    </row>
    <row r="869" spans="14:14" x14ac:dyDescent="0.25">
      <c r="N869" s="84"/>
    </row>
    <row r="870" spans="14:14" x14ac:dyDescent="0.25">
      <c r="N870" s="84"/>
    </row>
    <row r="871" spans="14:14" x14ac:dyDescent="0.25">
      <c r="N871" s="84"/>
    </row>
    <row r="872" spans="14:14" x14ac:dyDescent="0.25">
      <c r="N872" s="84"/>
    </row>
    <row r="873" spans="14:14" x14ac:dyDescent="0.25">
      <c r="N873" s="84"/>
    </row>
    <row r="874" spans="14:14" x14ac:dyDescent="0.25">
      <c r="N874" s="84"/>
    </row>
    <row r="875" spans="14:14" x14ac:dyDescent="0.25">
      <c r="N875" s="84"/>
    </row>
    <row r="876" spans="14:14" x14ac:dyDescent="0.25">
      <c r="N876" s="84"/>
    </row>
    <row r="877" spans="14:14" x14ac:dyDescent="0.25">
      <c r="N877" s="84"/>
    </row>
    <row r="878" spans="14:14" x14ac:dyDescent="0.25">
      <c r="N878" s="84"/>
    </row>
    <row r="879" spans="14:14" x14ac:dyDescent="0.25">
      <c r="N879" s="84"/>
    </row>
    <row r="880" spans="14:14" x14ac:dyDescent="0.25">
      <c r="N880" s="84"/>
    </row>
    <row r="881" spans="14:14" x14ac:dyDescent="0.25">
      <c r="N881" s="84"/>
    </row>
    <row r="882" spans="14:14" x14ac:dyDescent="0.25">
      <c r="N882" s="84"/>
    </row>
    <row r="883" spans="14:14" x14ac:dyDescent="0.25">
      <c r="N883" s="84"/>
    </row>
    <row r="884" spans="14:14" x14ac:dyDescent="0.25">
      <c r="N884" s="84"/>
    </row>
    <row r="885" spans="14:14" x14ac:dyDescent="0.25">
      <c r="N885" s="84"/>
    </row>
    <row r="886" spans="14:14" x14ac:dyDescent="0.25">
      <c r="N886" s="84"/>
    </row>
    <row r="887" spans="14:14" x14ac:dyDescent="0.25">
      <c r="N887" s="84"/>
    </row>
    <row r="888" spans="14:14" x14ac:dyDescent="0.25">
      <c r="N888" s="84"/>
    </row>
    <row r="889" spans="14:14" x14ac:dyDescent="0.25">
      <c r="N889" s="84"/>
    </row>
    <row r="890" spans="14:14" x14ac:dyDescent="0.25">
      <c r="N890" s="84"/>
    </row>
    <row r="891" spans="14:14" x14ac:dyDescent="0.25">
      <c r="N891" s="84"/>
    </row>
    <row r="892" spans="14:14" x14ac:dyDescent="0.25">
      <c r="N892" s="84"/>
    </row>
    <row r="893" spans="14:14" x14ac:dyDescent="0.25">
      <c r="N893" s="84"/>
    </row>
    <row r="894" spans="14:14" x14ac:dyDescent="0.25">
      <c r="N894" s="84"/>
    </row>
    <row r="895" spans="14:14" x14ac:dyDescent="0.25">
      <c r="N895" s="84"/>
    </row>
    <row r="896" spans="14:14" x14ac:dyDescent="0.25">
      <c r="N896" s="84"/>
    </row>
    <row r="897" spans="14:14" x14ac:dyDescent="0.25">
      <c r="N897" s="84"/>
    </row>
    <row r="898" spans="14:14" x14ac:dyDescent="0.25">
      <c r="N898" s="84"/>
    </row>
    <row r="899" spans="14:14" x14ac:dyDescent="0.25">
      <c r="N899" s="84"/>
    </row>
    <row r="900" spans="14:14" x14ac:dyDescent="0.25">
      <c r="N900" s="84"/>
    </row>
    <row r="901" spans="14:14" x14ac:dyDescent="0.25">
      <c r="N901" s="84"/>
    </row>
    <row r="902" spans="14:14" x14ac:dyDescent="0.25">
      <c r="N902" s="84"/>
    </row>
    <row r="903" spans="14:14" x14ac:dyDescent="0.25">
      <c r="N903" s="84"/>
    </row>
    <row r="904" spans="14:14" x14ac:dyDescent="0.25">
      <c r="N904" s="84"/>
    </row>
    <row r="905" spans="14:14" x14ac:dyDescent="0.25">
      <c r="N905" s="84"/>
    </row>
    <row r="906" spans="14:14" x14ac:dyDescent="0.25">
      <c r="N906" s="84"/>
    </row>
    <row r="907" spans="14:14" x14ac:dyDescent="0.25">
      <c r="N907" s="84"/>
    </row>
    <row r="908" spans="14:14" x14ac:dyDescent="0.25">
      <c r="N908" s="84"/>
    </row>
    <row r="909" spans="14:14" x14ac:dyDescent="0.25">
      <c r="N909" s="84"/>
    </row>
    <row r="910" spans="14:14" x14ac:dyDescent="0.25">
      <c r="N910" s="84"/>
    </row>
    <row r="911" spans="14:14" x14ac:dyDescent="0.25">
      <c r="N911" s="84"/>
    </row>
    <row r="912" spans="14:14" x14ac:dyDescent="0.25">
      <c r="N912" s="84"/>
    </row>
    <row r="913" spans="14:14" x14ac:dyDescent="0.25">
      <c r="N913" s="84"/>
    </row>
    <row r="914" spans="14:14" x14ac:dyDescent="0.25">
      <c r="N914" s="84"/>
    </row>
    <row r="915" spans="14:14" x14ac:dyDescent="0.25">
      <c r="N915" s="84"/>
    </row>
    <row r="916" spans="14:14" x14ac:dyDescent="0.25">
      <c r="N916" s="84"/>
    </row>
    <row r="917" spans="14:14" x14ac:dyDescent="0.25">
      <c r="N917" s="84"/>
    </row>
    <row r="918" spans="14:14" x14ac:dyDescent="0.25">
      <c r="N918" s="84"/>
    </row>
    <row r="919" spans="14:14" x14ac:dyDescent="0.25">
      <c r="N919" s="84"/>
    </row>
    <row r="920" spans="14:14" x14ac:dyDescent="0.25">
      <c r="N920" s="84"/>
    </row>
    <row r="921" spans="14:14" x14ac:dyDescent="0.25">
      <c r="N921" s="84"/>
    </row>
    <row r="922" spans="14:14" x14ac:dyDescent="0.25">
      <c r="N922" s="84"/>
    </row>
    <row r="923" spans="14:14" x14ac:dyDescent="0.25">
      <c r="N923" s="84"/>
    </row>
    <row r="924" spans="14:14" x14ac:dyDescent="0.25">
      <c r="N924" s="84"/>
    </row>
    <row r="925" spans="14:14" x14ac:dyDescent="0.25">
      <c r="N925" s="84"/>
    </row>
    <row r="926" spans="14:14" x14ac:dyDescent="0.25">
      <c r="N926" s="84"/>
    </row>
    <row r="927" spans="14:14" x14ac:dyDescent="0.25">
      <c r="N927" s="84"/>
    </row>
    <row r="928" spans="14:14" x14ac:dyDescent="0.25">
      <c r="N928" s="84"/>
    </row>
    <row r="929" spans="14:14" x14ac:dyDescent="0.25">
      <c r="N929" s="84"/>
    </row>
    <row r="930" spans="14:14" x14ac:dyDescent="0.25">
      <c r="N930" s="84"/>
    </row>
    <row r="931" spans="14:14" x14ac:dyDescent="0.25">
      <c r="N931" s="84"/>
    </row>
    <row r="932" spans="14:14" x14ac:dyDescent="0.25">
      <c r="N932" s="84"/>
    </row>
    <row r="933" spans="14:14" x14ac:dyDescent="0.25">
      <c r="N933" s="84"/>
    </row>
    <row r="934" spans="14:14" x14ac:dyDescent="0.25">
      <c r="N934" s="84"/>
    </row>
    <row r="935" spans="14:14" x14ac:dyDescent="0.25">
      <c r="N935" s="84"/>
    </row>
    <row r="936" spans="14:14" x14ac:dyDescent="0.25">
      <c r="N936" s="84"/>
    </row>
    <row r="937" spans="14:14" x14ac:dyDescent="0.25">
      <c r="N937" s="84"/>
    </row>
    <row r="938" spans="14:14" x14ac:dyDescent="0.25">
      <c r="N938" s="84"/>
    </row>
    <row r="939" spans="14:14" x14ac:dyDescent="0.25">
      <c r="N939" s="84"/>
    </row>
    <row r="940" spans="14:14" x14ac:dyDescent="0.25">
      <c r="N940" s="84"/>
    </row>
    <row r="941" spans="14:14" x14ac:dyDescent="0.25">
      <c r="N941" s="84"/>
    </row>
    <row r="942" spans="14:14" x14ac:dyDescent="0.25">
      <c r="N942" s="84"/>
    </row>
    <row r="943" spans="14:14" x14ac:dyDescent="0.25">
      <c r="N943" s="84"/>
    </row>
    <row r="944" spans="14:14" x14ac:dyDescent="0.25">
      <c r="N944" s="84"/>
    </row>
    <row r="945" spans="14:14" x14ac:dyDescent="0.25">
      <c r="N945" s="84"/>
    </row>
    <row r="946" spans="14:14" x14ac:dyDescent="0.25">
      <c r="N946" s="84"/>
    </row>
    <row r="947" spans="14:14" x14ac:dyDescent="0.25">
      <c r="N947" s="84"/>
    </row>
    <row r="948" spans="14:14" x14ac:dyDescent="0.25">
      <c r="N948" s="84"/>
    </row>
    <row r="949" spans="14:14" x14ac:dyDescent="0.25">
      <c r="N949" s="84"/>
    </row>
    <row r="950" spans="14:14" x14ac:dyDescent="0.25">
      <c r="N950" s="84"/>
    </row>
    <row r="951" spans="14:14" x14ac:dyDescent="0.25">
      <c r="N951" s="84"/>
    </row>
    <row r="952" spans="14:14" x14ac:dyDescent="0.25">
      <c r="N952" s="84"/>
    </row>
    <row r="953" spans="14:14" x14ac:dyDescent="0.25">
      <c r="N953" s="84"/>
    </row>
    <row r="954" spans="14:14" x14ac:dyDescent="0.25">
      <c r="N954" s="84"/>
    </row>
    <row r="955" spans="14:14" x14ac:dyDescent="0.25">
      <c r="N955" s="84"/>
    </row>
    <row r="956" spans="14:14" x14ac:dyDescent="0.25">
      <c r="N956" s="84"/>
    </row>
    <row r="957" spans="14:14" x14ac:dyDescent="0.25">
      <c r="N957" s="84"/>
    </row>
    <row r="958" spans="14:14" x14ac:dyDescent="0.25">
      <c r="N958" s="84"/>
    </row>
    <row r="959" spans="14:14" x14ac:dyDescent="0.25">
      <c r="N959" s="84"/>
    </row>
    <row r="960" spans="14:14" x14ac:dyDescent="0.25">
      <c r="N960" s="84"/>
    </row>
    <row r="961" spans="14:14" x14ac:dyDescent="0.25">
      <c r="N961" s="84"/>
    </row>
    <row r="962" spans="14:14" x14ac:dyDescent="0.25">
      <c r="N962" s="84"/>
    </row>
    <row r="963" spans="14:14" x14ac:dyDescent="0.25">
      <c r="N963" s="84"/>
    </row>
    <row r="964" spans="14:14" x14ac:dyDescent="0.25">
      <c r="N964" s="84"/>
    </row>
    <row r="965" spans="14:14" x14ac:dyDescent="0.25">
      <c r="N965" s="84"/>
    </row>
    <row r="966" spans="14:14" x14ac:dyDescent="0.25">
      <c r="N966" s="84"/>
    </row>
    <row r="967" spans="14:14" x14ac:dyDescent="0.25">
      <c r="N967" s="84"/>
    </row>
    <row r="968" spans="14:14" x14ac:dyDescent="0.25">
      <c r="N968" s="84"/>
    </row>
    <row r="969" spans="14:14" x14ac:dyDescent="0.25">
      <c r="N969" s="84"/>
    </row>
    <row r="970" spans="14:14" x14ac:dyDescent="0.25">
      <c r="N970" s="84"/>
    </row>
    <row r="971" spans="14:14" x14ac:dyDescent="0.25">
      <c r="N971" s="84"/>
    </row>
    <row r="972" spans="14:14" x14ac:dyDescent="0.25">
      <c r="N972" s="84"/>
    </row>
    <row r="973" spans="14:14" x14ac:dyDescent="0.25">
      <c r="N973" s="84"/>
    </row>
    <row r="974" spans="14:14" x14ac:dyDescent="0.25">
      <c r="N974" s="84"/>
    </row>
    <row r="975" spans="14:14" x14ac:dyDescent="0.25">
      <c r="N975" s="84"/>
    </row>
    <row r="976" spans="14:14" x14ac:dyDescent="0.25">
      <c r="N976" s="84"/>
    </row>
    <row r="977" spans="14:14" x14ac:dyDescent="0.25">
      <c r="N977" s="84"/>
    </row>
    <row r="978" spans="14:14" x14ac:dyDescent="0.25">
      <c r="N978" s="84"/>
    </row>
    <row r="979" spans="14:14" x14ac:dyDescent="0.25">
      <c r="N979" s="84"/>
    </row>
    <row r="980" spans="14:14" x14ac:dyDescent="0.25">
      <c r="N980" s="84"/>
    </row>
    <row r="981" spans="14:14" x14ac:dyDescent="0.25">
      <c r="N981" s="84"/>
    </row>
    <row r="982" spans="14:14" x14ac:dyDescent="0.25">
      <c r="N982" s="84"/>
    </row>
    <row r="983" spans="14:14" x14ac:dyDescent="0.25">
      <c r="N983" s="84"/>
    </row>
    <row r="984" spans="14:14" x14ac:dyDescent="0.25">
      <c r="N984" s="84"/>
    </row>
    <row r="985" spans="14:14" x14ac:dyDescent="0.25">
      <c r="N985" s="84"/>
    </row>
    <row r="986" spans="14:14" x14ac:dyDescent="0.25">
      <c r="N986" s="84"/>
    </row>
    <row r="987" spans="14:14" x14ac:dyDescent="0.25">
      <c r="N987" s="84"/>
    </row>
    <row r="988" spans="14:14" x14ac:dyDescent="0.25">
      <c r="N988" s="84"/>
    </row>
    <row r="989" spans="14:14" x14ac:dyDescent="0.25">
      <c r="N989" s="84"/>
    </row>
    <row r="990" spans="14:14" x14ac:dyDescent="0.25">
      <c r="N990" s="84"/>
    </row>
    <row r="991" spans="14:14" x14ac:dyDescent="0.25">
      <c r="N991" s="84"/>
    </row>
    <row r="992" spans="14:14" x14ac:dyDescent="0.25">
      <c r="N992" s="84"/>
    </row>
    <row r="993" spans="14:14" x14ac:dyDescent="0.25">
      <c r="N993" s="84"/>
    </row>
    <row r="994" spans="14:14" x14ac:dyDescent="0.25">
      <c r="N994" s="84"/>
    </row>
    <row r="995" spans="14:14" x14ac:dyDescent="0.25">
      <c r="N995" s="84"/>
    </row>
    <row r="996" spans="14:14" x14ac:dyDescent="0.25">
      <c r="N996" s="84"/>
    </row>
    <row r="997" spans="14:14" x14ac:dyDescent="0.25">
      <c r="N997" s="84"/>
    </row>
    <row r="998" spans="14:14" x14ac:dyDescent="0.25">
      <c r="N998" s="84"/>
    </row>
    <row r="999" spans="14:14" x14ac:dyDescent="0.25">
      <c r="N999" s="84"/>
    </row>
    <row r="1000" spans="14:14" x14ac:dyDescent="0.25">
      <c r="N1000" s="84"/>
    </row>
    <row r="1001" spans="14:14" x14ac:dyDescent="0.25">
      <c r="N1001" s="84"/>
    </row>
    <row r="1002" spans="14:14" x14ac:dyDescent="0.25">
      <c r="N1002" s="84"/>
    </row>
    <row r="1003" spans="14:14" x14ac:dyDescent="0.25">
      <c r="N1003" s="84"/>
    </row>
    <row r="1004" spans="14:14" x14ac:dyDescent="0.25">
      <c r="N1004" s="84"/>
    </row>
    <row r="1005" spans="14:14" x14ac:dyDescent="0.25">
      <c r="N1005" s="84"/>
    </row>
    <row r="1006" spans="14:14" x14ac:dyDescent="0.25">
      <c r="N1006" s="84"/>
    </row>
    <row r="1007" spans="14:14" x14ac:dyDescent="0.25">
      <c r="N1007" s="84"/>
    </row>
    <row r="1008" spans="14:14" x14ac:dyDescent="0.25">
      <c r="N1008" s="84"/>
    </row>
    <row r="1009" spans="14:14" x14ac:dyDescent="0.25">
      <c r="N1009" s="84"/>
    </row>
    <row r="1010" spans="14:14" x14ac:dyDescent="0.25">
      <c r="N1010" s="84"/>
    </row>
    <row r="1011" spans="14:14" x14ac:dyDescent="0.25">
      <c r="N1011" s="84"/>
    </row>
    <row r="1012" spans="14:14" x14ac:dyDescent="0.25">
      <c r="N1012" s="84"/>
    </row>
    <row r="1013" spans="14:14" x14ac:dyDescent="0.25">
      <c r="N1013" s="84"/>
    </row>
    <row r="1014" spans="14:14" x14ac:dyDescent="0.25">
      <c r="N1014" s="84"/>
    </row>
    <row r="1015" spans="14:14" x14ac:dyDescent="0.25">
      <c r="N1015" s="84"/>
    </row>
    <row r="1016" spans="14:14" x14ac:dyDescent="0.25">
      <c r="N1016" s="84"/>
    </row>
    <row r="1017" spans="14:14" x14ac:dyDescent="0.25">
      <c r="N1017" s="84"/>
    </row>
    <row r="1018" spans="14:14" x14ac:dyDescent="0.25">
      <c r="N1018" s="84"/>
    </row>
    <row r="1019" spans="14:14" x14ac:dyDescent="0.25">
      <c r="N1019" s="84"/>
    </row>
    <row r="1020" spans="14:14" x14ac:dyDescent="0.25">
      <c r="N1020" s="84"/>
    </row>
    <row r="1021" spans="14:14" x14ac:dyDescent="0.25">
      <c r="N1021" s="84"/>
    </row>
    <row r="1022" spans="14:14" x14ac:dyDescent="0.25">
      <c r="N1022" s="84"/>
    </row>
    <row r="1023" spans="14:14" x14ac:dyDescent="0.25">
      <c r="N1023" s="84"/>
    </row>
    <row r="1024" spans="14:14" x14ac:dyDescent="0.25">
      <c r="N1024" s="84"/>
    </row>
    <row r="1025" spans="14:14" x14ac:dyDescent="0.25">
      <c r="N1025" s="84"/>
    </row>
    <row r="1026" spans="14:14" x14ac:dyDescent="0.25">
      <c r="N1026" s="84"/>
    </row>
    <row r="1027" spans="14:14" x14ac:dyDescent="0.25">
      <c r="N1027" s="84"/>
    </row>
    <row r="1028" spans="14:14" x14ac:dyDescent="0.25">
      <c r="N1028" s="84"/>
    </row>
    <row r="1029" spans="14:14" x14ac:dyDescent="0.25">
      <c r="N1029" s="84"/>
    </row>
    <row r="1030" spans="14:14" x14ac:dyDescent="0.25">
      <c r="N1030" s="84"/>
    </row>
    <row r="1031" spans="14:14" x14ac:dyDescent="0.25">
      <c r="N1031" s="84"/>
    </row>
    <row r="1032" spans="14:14" x14ac:dyDescent="0.25">
      <c r="N1032" s="84"/>
    </row>
    <row r="1033" spans="14:14" x14ac:dyDescent="0.25">
      <c r="N1033" s="84"/>
    </row>
    <row r="1034" spans="14:14" x14ac:dyDescent="0.25">
      <c r="N1034" s="84"/>
    </row>
    <row r="1035" spans="14:14" x14ac:dyDescent="0.25">
      <c r="N1035" s="84"/>
    </row>
    <row r="1036" spans="14:14" x14ac:dyDescent="0.25">
      <c r="N1036" s="84"/>
    </row>
    <row r="1037" spans="14:14" x14ac:dyDescent="0.25">
      <c r="N1037" s="84"/>
    </row>
    <row r="1038" spans="14:14" x14ac:dyDescent="0.25">
      <c r="N1038" s="84"/>
    </row>
    <row r="1039" spans="14:14" x14ac:dyDescent="0.25">
      <c r="N1039" s="84"/>
    </row>
    <row r="1040" spans="14:14" x14ac:dyDescent="0.25">
      <c r="N1040" s="84"/>
    </row>
    <row r="1041" spans="14:14" x14ac:dyDescent="0.25">
      <c r="N1041" s="84"/>
    </row>
    <row r="1042" spans="14:14" x14ac:dyDescent="0.25">
      <c r="N1042" s="84"/>
    </row>
    <row r="1043" spans="14:14" x14ac:dyDescent="0.25">
      <c r="N1043" s="84"/>
    </row>
    <row r="1044" spans="14:14" x14ac:dyDescent="0.25">
      <c r="N1044" s="84"/>
    </row>
    <row r="1045" spans="14:14" x14ac:dyDescent="0.25">
      <c r="N1045" s="84"/>
    </row>
    <row r="1046" spans="14:14" x14ac:dyDescent="0.25">
      <c r="N1046" s="84"/>
    </row>
    <row r="1047" spans="14:14" x14ac:dyDescent="0.25">
      <c r="N1047" s="84"/>
    </row>
    <row r="1048" spans="14:14" x14ac:dyDescent="0.25">
      <c r="N1048" s="84"/>
    </row>
    <row r="1049" spans="14:14" x14ac:dyDescent="0.25">
      <c r="N1049" s="84"/>
    </row>
    <row r="1050" spans="14:14" x14ac:dyDescent="0.25">
      <c r="N1050" s="84"/>
    </row>
    <row r="1051" spans="14:14" x14ac:dyDescent="0.25">
      <c r="N1051" s="84"/>
    </row>
    <row r="1052" spans="14:14" x14ac:dyDescent="0.25">
      <c r="N1052" s="84"/>
    </row>
    <row r="1053" spans="14:14" x14ac:dyDescent="0.25">
      <c r="N1053" s="84"/>
    </row>
    <row r="1054" spans="14:14" x14ac:dyDescent="0.25">
      <c r="N1054" s="84"/>
    </row>
    <row r="1055" spans="14:14" x14ac:dyDescent="0.25">
      <c r="N1055" s="84"/>
    </row>
    <row r="1056" spans="14:14" x14ac:dyDescent="0.25">
      <c r="N1056" s="84"/>
    </row>
    <row r="1057" spans="14:14" x14ac:dyDescent="0.25">
      <c r="N1057" s="84"/>
    </row>
    <row r="1058" spans="14:14" x14ac:dyDescent="0.25">
      <c r="N1058" s="84"/>
    </row>
    <row r="1059" spans="14:14" x14ac:dyDescent="0.25">
      <c r="N1059" s="84"/>
    </row>
    <row r="1060" spans="14:14" x14ac:dyDescent="0.25">
      <c r="N1060" s="84"/>
    </row>
    <row r="1061" spans="14:14" x14ac:dyDescent="0.25">
      <c r="N1061" s="84"/>
    </row>
    <row r="1062" spans="14:14" x14ac:dyDescent="0.25">
      <c r="N1062" s="84"/>
    </row>
    <row r="1063" spans="14:14" x14ac:dyDescent="0.25">
      <c r="N1063" s="84"/>
    </row>
    <row r="1064" spans="14:14" x14ac:dyDescent="0.25">
      <c r="N1064" s="84"/>
    </row>
    <row r="1065" spans="14:14" x14ac:dyDescent="0.25">
      <c r="N1065" s="84"/>
    </row>
    <row r="1066" spans="14:14" x14ac:dyDescent="0.25">
      <c r="N1066" s="84"/>
    </row>
    <row r="1067" spans="14:14" x14ac:dyDescent="0.25">
      <c r="N1067" s="84"/>
    </row>
    <row r="1068" spans="14:14" x14ac:dyDescent="0.25">
      <c r="N1068" s="84"/>
    </row>
    <row r="1069" spans="14:14" x14ac:dyDescent="0.25">
      <c r="N1069" s="84"/>
    </row>
    <row r="1070" spans="14:14" x14ac:dyDescent="0.25">
      <c r="N1070" s="84"/>
    </row>
    <row r="1071" spans="14:14" x14ac:dyDescent="0.25">
      <c r="N1071" s="84"/>
    </row>
    <row r="1072" spans="14:14" x14ac:dyDescent="0.25">
      <c r="N1072" s="84"/>
    </row>
    <row r="1073" spans="14:14" x14ac:dyDescent="0.25">
      <c r="N1073" s="84"/>
    </row>
    <row r="1074" spans="14:14" x14ac:dyDescent="0.25">
      <c r="N1074" s="84"/>
    </row>
    <row r="1075" spans="14:14" x14ac:dyDescent="0.25">
      <c r="N1075" s="84"/>
    </row>
    <row r="1076" spans="14:14" x14ac:dyDescent="0.25">
      <c r="N1076" s="84"/>
    </row>
    <row r="1077" spans="14:14" x14ac:dyDescent="0.25">
      <c r="N1077" s="84"/>
    </row>
    <row r="1078" spans="14:14" x14ac:dyDescent="0.25">
      <c r="N1078" s="84"/>
    </row>
    <row r="1079" spans="14:14" x14ac:dyDescent="0.25">
      <c r="N1079" s="84"/>
    </row>
    <row r="1080" spans="14:14" x14ac:dyDescent="0.25">
      <c r="N1080" s="84"/>
    </row>
    <row r="1081" spans="14:14" x14ac:dyDescent="0.25">
      <c r="N1081" s="84"/>
    </row>
    <row r="1082" spans="14:14" x14ac:dyDescent="0.25">
      <c r="N1082" s="84"/>
    </row>
    <row r="1083" spans="14:14" x14ac:dyDescent="0.25">
      <c r="N1083" s="84"/>
    </row>
    <row r="1084" spans="14:14" x14ac:dyDescent="0.25">
      <c r="N1084" s="84"/>
    </row>
    <row r="1085" spans="14:14" x14ac:dyDescent="0.25">
      <c r="N1085" s="84"/>
    </row>
    <row r="1086" spans="14:14" x14ac:dyDescent="0.25">
      <c r="N1086" s="84"/>
    </row>
    <row r="1087" spans="14:14" x14ac:dyDescent="0.25">
      <c r="N1087" s="84"/>
    </row>
    <row r="1088" spans="14:14" x14ac:dyDescent="0.25">
      <c r="N1088" s="84"/>
    </row>
    <row r="1089" spans="14:14" x14ac:dyDescent="0.25">
      <c r="N1089" s="84"/>
    </row>
    <row r="1090" spans="14:14" x14ac:dyDescent="0.25">
      <c r="N1090" s="84"/>
    </row>
    <row r="1091" spans="14:14" x14ac:dyDescent="0.25">
      <c r="N1091" s="84"/>
    </row>
    <row r="1092" spans="14:14" x14ac:dyDescent="0.25">
      <c r="N1092" s="84"/>
    </row>
    <row r="1093" spans="14:14" x14ac:dyDescent="0.25">
      <c r="N1093" s="84"/>
    </row>
    <row r="1094" spans="14:14" x14ac:dyDescent="0.25">
      <c r="N1094" s="84"/>
    </row>
    <row r="1095" spans="14:14" x14ac:dyDescent="0.25">
      <c r="N1095" s="84"/>
    </row>
    <row r="1096" spans="14:14" x14ac:dyDescent="0.25">
      <c r="N1096" s="84"/>
    </row>
    <row r="1097" spans="14:14" x14ac:dyDescent="0.25">
      <c r="N1097" s="84"/>
    </row>
    <row r="1098" spans="14:14" x14ac:dyDescent="0.25">
      <c r="N1098" s="84"/>
    </row>
    <row r="1099" spans="14:14" x14ac:dyDescent="0.25">
      <c r="N1099" s="84"/>
    </row>
    <row r="1100" spans="14:14" x14ac:dyDescent="0.25">
      <c r="N1100" s="84"/>
    </row>
    <row r="1101" spans="14:14" x14ac:dyDescent="0.25">
      <c r="N1101" s="84"/>
    </row>
    <row r="1102" spans="14:14" x14ac:dyDescent="0.25">
      <c r="N1102" s="84"/>
    </row>
    <row r="1103" spans="14:14" x14ac:dyDescent="0.25">
      <c r="N1103" s="84"/>
    </row>
    <row r="1104" spans="14:14" x14ac:dyDescent="0.25">
      <c r="N1104" s="84"/>
    </row>
    <row r="1105" spans="14:14" x14ac:dyDescent="0.25">
      <c r="N1105" s="84"/>
    </row>
    <row r="1106" spans="14:14" x14ac:dyDescent="0.25">
      <c r="N1106" s="84"/>
    </row>
    <row r="1107" spans="14:14" x14ac:dyDescent="0.25">
      <c r="N1107" s="84"/>
    </row>
    <row r="1108" spans="14:14" x14ac:dyDescent="0.25">
      <c r="N1108" s="84"/>
    </row>
    <row r="1109" spans="14:14" x14ac:dyDescent="0.25">
      <c r="N1109" s="84"/>
    </row>
    <row r="1110" spans="14:14" x14ac:dyDescent="0.25">
      <c r="N1110" s="84"/>
    </row>
    <row r="1111" spans="14:14" x14ac:dyDescent="0.25">
      <c r="N1111" s="84"/>
    </row>
    <row r="1112" spans="14:14" x14ac:dyDescent="0.25">
      <c r="N1112" s="84"/>
    </row>
    <row r="1113" spans="14:14" x14ac:dyDescent="0.25">
      <c r="N1113" s="84"/>
    </row>
    <row r="1114" spans="14:14" x14ac:dyDescent="0.25">
      <c r="N1114" s="84"/>
    </row>
    <row r="1115" spans="14:14" x14ac:dyDescent="0.25">
      <c r="N1115" s="84"/>
    </row>
    <row r="1116" spans="14:14" x14ac:dyDescent="0.25">
      <c r="N1116" s="84"/>
    </row>
    <row r="1117" spans="14:14" x14ac:dyDescent="0.25">
      <c r="N1117" s="84"/>
    </row>
    <row r="1118" spans="14:14" x14ac:dyDescent="0.25">
      <c r="N1118" s="84"/>
    </row>
    <row r="1119" spans="14:14" x14ac:dyDescent="0.25">
      <c r="N1119" s="84"/>
    </row>
    <row r="1120" spans="14:14" x14ac:dyDescent="0.25">
      <c r="N1120" s="84"/>
    </row>
    <row r="1121" spans="14:14" x14ac:dyDescent="0.25">
      <c r="N1121" s="84"/>
    </row>
    <row r="1122" spans="14:14" x14ac:dyDescent="0.25">
      <c r="N1122" s="84"/>
    </row>
    <row r="1123" spans="14:14" x14ac:dyDescent="0.25">
      <c r="N1123" s="84"/>
    </row>
    <row r="1124" spans="14:14" x14ac:dyDescent="0.25">
      <c r="N1124" s="84"/>
    </row>
    <row r="1125" spans="14:14" x14ac:dyDescent="0.25">
      <c r="N1125" s="84"/>
    </row>
    <row r="1126" spans="14:14" x14ac:dyDescent="0.25">
      <c r="N1126" s="84"/>
    </row>
    <row r="1127" spans="14:14" x14ac:dyDescent="0.25">
      <c r="N1127" s="84"/>
    </row>
    <row r="1128" spans="14:14" x14ac:dyDescent="0.25">
      <c r="N1128" s="84"/>
    </row>
    <row r="1129" spans="14:14" x14ac:dyDescent="0.25">
      <c r="N1129" s="84"/>
    </row>
    <row r="1130" spans="14:14" x14ac:dyDescent="0.25">
      <c r="N1130" s="84"/>
    </row>
    <row r="1131" spans="14:14" x14ac:dyDescent="0.25">
      <c r="N1131" s="84"/>
    </row>
    <row r="1132" spans="14:14" x14ac:dyDescent="0.25">
      <c r="N1132" s="84"/>
    </row>
    <row r="1133" spans="14:14" x14ac:dyDescent="0.25">
      <c r="N1133" s="84"/>
    </row>
    <row r="1134" spans="14:14" x14ac:dyDescent="0.25">
      <c r="N1134" s="84"/>
    </row>
    <row r="1135" spans="14:14" x14ac:dyDescent="0.25">
      <c r="N1135" s="84"/>
    </row>
    <row r="1136" spans="14:14" x14ac:dyDescent="0.25">
      <c r="N1136" s="84"/>
    </row>
    <row r="1137" spans="14:14" x14ac:dyDescent="0.25">
      <c r="N1137" s="84"/>
    </row>
    <row r="1138" spans="14:14" x14ac:dyDescent="0.25">
      <c r="N1138" s="84"/>
    </row>
    <row r="1139" spans="14:14" x14ac:dyDescent="0.25">
      <c r="N1139" s="84"/>
    </row>
    <row r="1140" spans="14:14" x14ac:dyDescent="0.25">
      <c r="N1140" s="84"/>
    </row>
    <row r="1141" spans="14:14" x14ac:dyDescent="0.25">
      <c r="N1141" s="84"/>
    </row>
    <row r="1142" spans="14:14" x14ac:dyDescent="0.25">
      <c r="N1142" s="84"/>
    </row>
    <row r="1143" spans="14:14" x14ac:dyDescent="0.25">
      <c r="N1143" s="84"/>
    </row>
    <row r="1144" spans="14:14" x14ac:dyDescent="0.25">
      <c r="N1144" s="84"/>
    </row>
    <row r="1145" spans="14:14" x14ac:dyDescent="0.25">
      <c r="N1145" s="84"/>
    </row>
    <row r="1146" spans="14:14" x14ac:dyDescent="0.25">
      <c r="N1146" s="84"/>
    </row>
    <row r="1147" spans="14:14" x14ac:dyDescent="0.25">
      <c r="N1147" s="84"/>
    </row>
    <row r="1148" spans="14:14" x14ac:dyDescent="0.25">
      <c r="N1148" s="84"/>
    </row>
    <row r="1149" spans="14:14" x14ac:dyDescent="0.25">
      <c r="N1149" s="84"/>
    </row>
    <row r="1150" spans="14:14" x14ac:dyDescent="0.25">
      <c r="N1150" s="84"/>
    </row>
    <row r="1151" spans="14:14" x14ac:dyDescent="0.25">
      <c r="N1151" s="84"/>
    </row>
    <row r="1152" spans="14:14" x14ac:dyDescent="0.25">
      <c r="N1152" s="84"/>
    </row>
    <row r="1153" spans="14:14" x14ac:dyDescent="0.25">
      <c r="N1153" s="84"/>
    </row>
    <row r="1154" spans="14:14" x14ac:dyDescent="0.25">
      <c r="N1154" s="84"/>
    </row>
    <row r="1155" spans="14:14" x14ac:dyDescent="0.25">
      <c r="N1155" s="84"/>
    </row>
    <row r="1156" spans="14:14" x14ac:dyDescent="0.25">
      <c r="N1156" s="84"/>
    </row>
    <row r="1157" spans="14:14" x14ac:dyDescent="0.25">
      <c r="N1157" s="84"/>
    </row>
    <row r="1158" spans="14:14" x14ac:dyDescent="0.25">
      <c r="N1158" s="84"/>
    </row>
    <row r="1159" spans="14:14" x14ac:dyDescent="0.25">
      <c r="N1159" s="84"/>
    </row>
    <row r="1160" spans="14:14" x14ac:dyDescent="0.25">
      <c r="N1160" s="84"/>
    </row>
    <row r="1161" spans="14:14" x14ac:dyDescent="0.25">
      <c r="N1161" s="84"/>
    </row>
    <row r="1162" spans="14:14" x14ac:dyDescent="0.25">
      <c r="N1162" s="84"/>
    </row>
    <row r="1163" spans="14:14" x14ac:dyDescent="0.25">
      <c r="N1163" s="84"/>
    </row>
    <row r="1164" spans="14:14" x14ac:dyDescent="0.25">
      <c r="N1164" s="84"/>
    </row>
    <row r="1165" spans="14:14" x14ac:dyDescent="0.25">
      <c r="N1165" s="84"/>
    </row>
    <row r="1166" spans="14:14" x14ac:dyDescent="0.25">
      <c r="N1166" s="84"/>
    </row>
    <row r="1167" spans="14:14" x14ac:dyDescent="0.25">
      <c r="N1167" s="84"/>
    </row>
    <row r="1168" spans="14:14" x14ac:dyDescent="0.25">
      <c r="N1168" s="84"/>
    </row>
    <row r="1169" spans="14:14" x14ac:dyDescent="0.25">
      <c r="N1169" s="84"/>
    </row>
    <row r="1170" spans="14:14" x14ac:dyDescent="0.25">
      <c r="N1170" s="84"/>
    </row>
    <row r="1171" spans="14:14" x14ac:dyDescent="0.25">
      <c r="N1171" s="84"/>
    </row>
    <row r="1172" spans="14:14" x14ac:dyDescent="0.25">
      <c r="N1172" s="84"/>
    </row>
    <row r="1173" spans="14:14" x14ac:dyDescent="0.25">
      <c r="N1173" s="84"/>
    </row>
    <row r="1174" spans="14:14" x14ac:dyDescent="0.25">
      <c r="N1174" s="84"/>
    </row>
    <row r="1175" spans="14:14" x14ac:dyDescent="0.25">
      <c r="N1175" s="84"/>
    </row>
    <row r="1176" spans="14:14" x14ac:dyDescent="0.25">
      <c r="N1176" s="84"/>
    </row>
    <row r="1177" spans="14:14" x14ac:dyDescent="0.25">
      <c r="N1177" s="84"/>
    </row>
    <row r="1178" spans="14:14" x14ac:dyDescent="0.25">
      <c r="N1178" s="84"/>
    </row>
    <row r="1179" spans="14:14" x14ac:dyDescent="0.25">
      <c r="N1179" s="84"/>
    </row>
    <row r="1180" spans="14:14" x14ac:dyDescent="0.25">
      <c r="N1180" s="84"/>
    </row>
    <row r="1181" spans="14:14" x14ac:dyDescent="0.25">
      <c r="N1181" s="84"/>
    </row>
    <row r="1182" spans="14:14" x14ac:dyDescent="0.25">
      <c r="N1182" s="84"/>
    </row>
    <row r="1183" spans="14:14" x14ac:dyDescent="0.25">
      <c r="N1183" s="84"/>
    </row>
    <row r="1184" spans="14:14" x14ac:dyDescent="0.25">
      <c r="N1184" s="84"/>
    </row>
    <row r="1185" spans="14:14" x14ac:dyDescent="0.25">
      <c r="N1185" s="84"/>
    </row>
    <row r="1186" spans="14:14" x14ac:dyDescent="0.25">
      <c r="N1186" s="84"/>
    </row>
    <row r="1187" spans="14:14" x14ac:dyDescent="0.25">
      <c r="N1187" s="84"/>
    </row>
    <row r="1188" spans="14:14" x14ac:dyDescent="0.25">
      <c r="N1188" s="84"/>
    </row>
    <row r="1189" spans="14:14" x14ac:dyDescent="0.25">
      <c r="N1189" s="84"/>
    </row>
    <row r="1190" spans="14:14" x14ac:dyDescent="0.25">
      <c r="N1190" s="84"/>
    </row>
    <row r="1191" spans="14:14" x14ac:dyDescent="0.25">
      <c r="N1191" s="84"/>
    </row>
    <row r="1192" spans="14:14" x14ac:dyDescent="0.25">
      <c r="N1192" s="84"/>
    </row>
    <row r="1193" spans="14:14" x14ac:dyDescent="0.25">
      <c r="N1193" s="84"/>
    </row>
    <row r="1194" spans="14:14" x14ac:dyDescent="0.25">
      <c r="N1194" s="84"/>
    </row>
    <row r="1195" spans="14:14" x14ac:dyDescent="0.25">
      <c r="N1195" s="84"/>
    </row>
    <row r="1196" spans="14:14" x14ac:dyDescent="0.25">
      <c r="N1196" s="84"/>
    </row>
    <row r="1197" spans="14:14" x14ac:dyDescent="0.25">
      <c r="N1197" s="84"/>
    </row>
    <row r="1198" spans="14:14" x14ac:dyDescent="0.25">
      <c r="N1198" s="84"/>
    </row>
    <row r="1199" spans="14:14" x14ac:dyDescent="0.25">
      <c r="N1199" s="84"/>
    </row>
    <row r="1200" spans="14:14" x14ac:dyDescent="0.25">
      <c r="N1200" s="84"/>
    </row>
    <row r="1201" spans="14:14" x14ac:dyDescent="0.25">
      <c r="N1201" s="84"/>
    </row>
    <row r="1202" spans="14:14" x14ac:dyDescent="0.25">
      <c r="N1202" s="84"/>
    </row>
    <row r="1203" spans="14:14" x14ac:dyDescent="0.25">
      <c r="N1203" s="84"/>
    </row>
    <row r="1204" spans="14:14" x14ac:dyDescent="0.25">
      <c r="N1204" s="84"/>
    </row>
    <row r="1205" spans="14:14" x14ac:dyDescent="0.25">
      <c r="N1205" s="84"/>
    </row>
    <row r="1206" spans="14:14" x14ac:dyDescent="0.25">
      <c r="N1206" s="84"/>
    </row>
    <row r="1207" spans="14:14" x14ac:dyDescent="0.25">
      <c r="N1207" s="84"/>
    </row>
    <row r="1208" spans="14:14" x14ac:dyDescent="0.25">
      <c r="N1208" s="84"/>
    </row>
    <row r="1209" spans="14:14" x14ac:dyDescent="0.25">
      <c r="N1209" s="84"/>
    </row>
    <row r="1210" spans="14:14" x14ac:dyDescent="0.25">
      <c r="N1210" s="84"/>
    </row>
    <row r="1211" spans="14:14" x14ac:dyDescent="0.25">
      <c r="N1211" s="84"/>
    </row>
    <row r="1212" spans="14:14" x14ac:dyDescent="0.25">
      <c r="N1212" s="84"/>
    </row>
    <row r="1213" spans="14:14" x14ac:dyDescent="0.25">
      <c r="N1213" s="84"/>
    </row>
    <row r="1214" spans="14:14" x14ac:dyDescent="0.25">
      <c r="N1214" s="84"/>
    </row>
    <row r="1215" spans="14:14" x14ac:dyDescent="0.25">
      <c r="N1215" s="84"/>
    </row>
    <row r="1216" spans="14:14" x14ac:dyDescent="0.25">
      <c r="N1216" s="84"/>
    </row>
    <row r="1217" spans="14:14" x14ac:dyDescent="0.25">
      <c r="N1217" s="84"/>
    </row>
    <row r="1218" spans="14:14" x14ac:dyDescent="0.25">
      <c r="N1218" s="84"/>
    </row>
    <row r="1219" spans="14:14" x14ac:dyDescent="0.25">
      <c r="N1219" s="84"/>
    </row>
    <row r="1220" spans="14:14" x14ac:dyDescent="0.25">
      <c r="N1220" s="84"/>
    </row>
    <row r="1221" spans="14:14" x14ac:dyDescent="0.25">
      <c r="N1221" s="84"/>
    </row>
    <row r="1222" spans="14:14" x14ac:dyDescent="0.25">
      <c r="N1222" s="84"/>
    </row>
    <row r="1223" spans="14:14" x14ac:dyDescent="0.25">
      <c r="N1223" s="84"/>
    </row>
    <row r="1224" spans="14:14" x14ac:dyDescent="0.25">
      <c r="N1224" s="84"/>
    </row>
    <row r="1225" spans="14:14" x14ac:dyDescent="0.25">
      <c r="N1225" s="84"/>
    </row>
    <row r="1226" spans="14:14" x14ac:dyDescent="0.25">
      <c r="N1226" s="84"/>
    </row>
    <row r="1227" spans="14:14" x14ac:dyDescent="0.25">
      <c r="N1227" s="84"/>
    </row>
    <row r="1228" spans="14:14" x14ac:dyDescent="0.25">
      <c r="N1228" s="84"/>
    </row>
    <row r="1229" spans="14:14" x14ac:dyDescent="0.25">
      <c r="N1229" s="84"/>
    </row>
    <row r="1230" spans="14:14" x14ac:dyDescent="0.25">
      <c r="N1230" s="84"/>
    </row>
    <row r="1231" spans="14:14" x14ac:dyDescent="0.25">
      <c r="N1231" s="84"/>
    </row>
    <row r="1232" spans="14:14" x14ac:dyDescent="0.25">
      <c r="N1232" s="84"/>
    </row>
    <row r="1233" spans="14:14" x14ac:dyDescent="0.25">
      <c r="N1233" s="84"/>
    </row>
    <row r="1234" spans="14:14" x14ac:dyDescent="0.25">
      <c r="N1234" s="84"/>
    </row>
    <row r="1235" spans="14:14" x14ac:dyDescent="0.25">
      <c r="N1235" s="84"/>
    </row>
    <row r="1236" spans="14:14" x14ac:dyDescent="0.25">
      <c r="N1236" s="84"/>
    </row>
    <row r="1237" spans="14:14" x14ac:dyDescent="0.25">
      <c r="N1237" s="84"/>
    </row>
    <row r="1238" spans="14:14" x14ac:dyDescent="0.25">
      <c r="N1238" s="84"/>
    </row>
    <row r="1239" spans="14:14" x14ac:dyDescent="0.25">
      <c r="N1239" s="84"/>
    </row>
    <row r="1240" spans="14:14" x14ac:dyDescent="0.25">
      <c r="N1240" s="84"/>
    </row>
    <row r="1241" spans="14:14" x14ac:dyDescent="0.25">
      <c r="N1241" s="84"/>
    </row>
    <row r="1242" spans="14:14" x14ac:dyDescent="0.25">
      <c r="N1242" s="84"/>
    </row>
    <row r="1243" spans="14:14" x14ac:dyDescent="0.25">
      <c r="N1243" s="84"/>
    </row>
    <row r="1244" spans="14:14" x14ac:dyDescent="0.25">
      <c r="N1244" s="84"/>
    </row>
    <row r="1245" spans="14:14" x14ac:dyDescent="0.25">
      <c r="N1245" s="84"/>
    </row>
    <row r="1246" spans="14:14" x14ac:dyDescent="0.25">
      <c r="N1246" s="84"/>
    </row>
    <row r="1247" spans="14:14" x14ac:dyDescent="0.25">
      <c r="N1247" s="84"/>
    </row>
    <row r="1248" spans="14:14" x14ac:dyDescent="0.25">
      <c r="N1248" s="84"/>
    </row>
    <row r="1249" spans="14:14" x14ac:dyDescent="0.25">
      <c r="N1249" s="84"/>
    </row>
    <row r="1250" spans="14:14" x14ac:dyDescent="0.25">
      <c r="N1250" s="84"/>
    </row>
    <row r="1251" spans="14:14" x14ac:dyDescent="0.25">
      <c r="N1251" s="84"/>
    </row>
    <row r="1252" spans="14:14" x14ac:dyDescent="0.25">
      <c r="N1252" s="84"/>
    </row>
    <row r="1253" spans="14:14" x14ac:dyDescent="0.25">
      <c r="N1253" s="84"/>
    </row>
    <row r="1254" spans="14:14" x14ac:dyDescent="0.25">
      <c r="N1254" s="84"/>
    </row>
    <row r="1255" spans="14:14" x14ac:dyDescent="0.25">
      <c r="N1255" s="84"/>
    </row>
    <row r="1256" spans="14:14" x14ac:dyDescent="0.25">
      <c r="N1256" s="84"/>
    </row>
    <row r="1257" spans="14:14" x14ac:dyDescent="0.25">
      <c r="N1257" s="84"/>
    </row>
    <row r="1258" spans="14:14" x14ac:dyDescent="0.25">
      <c r="N1258" s="84"/>
    </row>
    <row r="1259" spans="14:14" x14ac:dyDescent="0.25">
      <c r="N1259" s="84"/>
    </row>
    <row r="1260" spans="14:14" x14ac:dyDescent="0.25">
      <c r="N1260" s="84"/>
    </row>
    <row r="1261" spans="14:14" x14ac:dyDescent="0.25">
      <c r="N1261" s="84"/>
    </row>
    <row r="1262" spans="14:14" x14ac:dyDescent="0.25">
      <c r="N1262" s="84"/>
    </row>
    <row r="1263" spans="14:14" x14ac:dyDescent="0.25">
      <c r="N1263" s="84"/>
    </row>
    <row r="1264" spans="14:14" x14ac:dyDescent="0.25">
      <c r="N1264" s="84"/>
    </row>
    <row r="1265" spans="14:14" x14ac:dyDescent="0.25">
      <c r="N1265" s="84"/>
    </row>
    <row r="1266" spans="14:14" x14ac:dyDescent="0.25">
      <c r="N1266" s="84"/>
    </row>
    <row r="1267" spans="14:14" x14ac:dyDescent="0.25">
      <c r="N1267" s="84"/>
    </row>
    <row r="1268" spans="14:14" x14ac:dyDescent="0.25">
      <c r="N1268" s="84"/>
    </row>
    <row r="1269" spans="14:14" x14ac:dyDescent="0.25">
      <c r="N1269" s="84"/>
    </row>
    <row r="1270" spans="14:14" x14ac:dyDescent="0.25">
      <c r="N1270" s="84"/>
    </row>
    <row r="1271" spans="14:14" x14ac:dyDescent="0.25">
      <c r="N1271" s="84"/>
    </row>
    <row r="1272" spans="14:14" x14ac:dyDescent="0.25">
      <c r="N1272" s="84"/>
    </row>
    <row r="1273" spans="14:14" x14ac:dyDescent="0.25">
      <c r="N1273" s="84"/>
    </row>
    <row r="1274" spans="14:14" x14ac:dyDescent="0.25">
      <c r="N1274" s="84"/>
    </row>
    <row r="1275" spans="14:14" x14ac:dyDescent="0.25">
      <c r="N1275" s="84"/>
    </row>
    <row r="1276" spans="14:14" x14ac:dyDescent="0.25">
      <c r="N1276" s="84"/>
    </row>
    <row r="1277" spans="14:14" x14ac:dyDescent="0.25">
      <c r="N1277" s="84"/>
    </row>
    <row r="1278" spans="14:14" x14ac:dyDescent="0.25">
      <c r="N1278" s="84"/>
    </row>
    <row r="1279" spans="14:14" x14ac:dyDescent="0.25">
      <c r="N1279" s="84"/>
    </row>
    <row r="1280" spans="14:14" x14ac:dyDescent="0.25">
      <c r="N1280" s="84"/>
    </row>
    <row r="1281" spans="14:14" x14ac:dyDescent="0.25">
      <c r="N1281" s="84"/>
    </row>
    <row r="1282" spans="14:14" x14ac:dyDescent="0.25">
      <c r="N1282" s="84"/>
    </row>
    <row r="1283" spans="14:14" x14ac:dyDescent="0.25">
      <c r="N1283" s="84"/>
    </row>
    <row r="1284" spans="14:14" x14ac:dyDescent="0.25">
      <c r="N1284" s="84"/>
    </row>
    <row r="1285" spans="14:14" x14ac:dyDescent="0.25">
      <c r="N1285" s="84"/>
    </row>
    <row r="1286" spans="14:14" x14ac:dyDescent="0.25">
      <c r="N1286" s="84"/>
    </row>
    <row r="1287" spans="14:14" x14ac:dyDescent="0.25">
      <c r="N1287" s="84"/>
    </row>
    <row r="1288" spans="14:14" x14ac:dyDescent="0.25">
      <c r="N1288" s="84"/>
    </row>
    <row r="1289" spans="14:14" x14ac:dyDescent="0.25">
      <c r="N1289" s="84"/>
    </row>
    <row r="1290" spans="14:14" x14ac:dyDescent="0.25">
      <c r="N1290" s="84"/>
    </row>
    <row r="1291" spans="14:14" x14ac:dyDescent="0.25">
      <c r="N1291" s="84"/>
    </row>
    <row r="1292" spans="14:14" x14ac:dyDescent="0.25">
      <c r="N1292" s="84"/>
    </row>
    <row r="1293" spans="14:14" x14ac:dyDescent="0.25">
      <c r="N1293" s="84"/>
    </row>
    <row r="1294" spans="14:14" x14ac:dyDescent="0.25">
      <c r="N1294" s="84"/>
    </row>
    <row r="1295" spans="14:14" x14ac:dyDescent="0.25">
      <c r="N1295" s="84"/>
    </row>
    <row r="1296" spans="14:14" x14ac:dyDescent="0.25">
      <c r="N1296" s="84"/>
    </row>
    <row r="1297" spans="14:14" x14ac:dyDescent="0.25">
      <c r="N1297" s="84"/>
    </row>
    <row r="1298" spans="14:14" x14ac:dyDescent="0.25">
      <c r="N1298" s="84"/>
    </row>
    <row r="1299" spans="14:14" x14ac:dyDescent="0.25">
      <c r="N1299" s="84"/>
    </row>
    <row r="1300" spans="14:14" x14ac:dyDescent="0.25">
      <c r="N1300" s="84"/>
    </row>
    <row r="1301" spans="14:14" x14ac:dyDescent="0.25">
      <c r="N1301" s="84"/>
    </row>
    <row r="1302" spans="14:14" x14ac:dyDescent="0.25">
      <c r="N1302" s="84"/>
    </row>
    <row r="1303" spans="14:14" x14ac:dyDescent="0.25">
      <c r="N1303" s="84"/>
    </row>
    <row r="1304" spans="14:14" x14ac:dyDescent="0.25">
      <c r="N1304" s="84"/>
    </row>
    <row r="1305" spans="14:14" x14ac:dyDescent="0.25">
      <c r="N1305" s="84"/>
    </row>
    <row r="1306" spans="14:14" x14ac:dyDescent="0.25">
      <c r="N1306" s="84"/>
    </row>
    <row r="1307" spans="14:14" x14ac:dyDescent="0.25">
      <c r="N1307" s="84"/>
    </row>
    <row r="1308" spans="14:14" x14ac:dyDescent="0.25">
      <c r="N1308" s="84"/>
    </row>
    <row r="1309" spans="14:14" x14ac:dyDescent="0.25">
      <c r="N1309" s="84"/>
    </row>
    <row r="1310" spans="14:14" x14ac:dyDescent="0.25">
      <c r="N1310" s="84"/>
    </row>
    <row r="1311" spans="14:14" x14ac:dyDescent="0.25">
      <c r="N1311" s="84"/>
    </row>
    <row r="1312" spans="14:14" x14ac:dyDescent="0.25">
      <c r="N1312" s="84"/>
    </row>
    <row r="1313" spans="14:14" x14ac:dyDescent="0.25">
      <c r="N1313" s="84"/>
    </row>
    <row r="1314" spans="14:14" x14ac:dyDescent="0.25">
      <c r="N1314" s="84"/>
    </row>
    <row r="1315" spans="14:14" x14ac:dyDescent="0.25">
      <c r="N1315" s="84"/>
    </row>
    <row r="1316" spans="14:14" x14ac:dyDescent="0.25">
      <c r="N1316" s="84"/>
    </row>
    <row r="1317" spans="14:14" x14ac:dyDescent="0.25">
      <c r="N1317" s="84"/>
    </row>
    <row r="1318" spans="14:14" x14ac:dyDescent="0.25">
      <c r="N1318" s="84"/>
    </row>
    <row r="1319" spans="14:14" x14ac:dyDescent="0.25">
      <c r="N1319" s="84"/>
    </row>
    <row r="1320" spans="14:14" x14ac:dyDescent="0.25">
      <c r="N1320" s="84"/>
    </row>
    <row r="1321" spans="14:14" x14ac:dyDescent="0.25">
      <c r="N1321" s="84"/>
    </row>
    <row r="1322" spans="14:14" x14ac:dyDescent="0.25">
      <c r="N1322" s="84"/>
    </row>
    <row r="1323" spans="14:14" x14ac:dyDescent="0.25">
      <c r="N1323" s="84"/>
    </row>
    <row r="1324" spans="14:14" x14ac:dyDescent="0.25">
      <c r="N1324" s="84"/>
    </row>
    <row r="1325" spans="14:14" x14ac:dyDescent="0.25">
      <c r="N1325" s="84"/>
    </row>
    <row r="1326" spans="14:14" x14ac:dyDescent="0.25">
      <c r="N1326" s="84"/>
    </row>
    <row r="1327" spans="14:14" x14ac:dyDescent="0.25">
      <c r="N1327" s="84"/>
    </row>
    <row r="1328" spans="14:14" x14ac:dyDescent="0.25">
      <c r="N1328" s="84"/>
    </row>
    <row r="1329" spans="14:14" x14ac:dyDescent="0.25">
      <c r="N1329" s="84"/>
    </row>
    <row r="1330" spans="14:14" x14ac:dyDescent="0.25">
      <c r="N1330" s="84"/>
    </row>
    <row r="1331" spans="14:14" x14ac:dyDescent="0.25">
      <c r="N1331" s="84"/>
    </row>
    <row r="1332" spans="14:14" x14ac:dyDescent="0.25">
      <c r="N1332" s="84"/>
    </row>
    <row r="1333" spans="14:14" x14ac:dyDescent="0.25">
      <c r="N1333" s="84"/>
    </row>
    <row r="1334" spans="14:14" x14ac:dyDescent="0.25">
      <c r="N1334" s="84"/>
    </row>
    <row r="1335" spans="14:14" x14ac:dyDescent="0.25">
      <c r="N1335" s="84"/>
    </row>
    <row r="1336" spans="14:14" x14ac:dyDescent="0.25">
      <c r="N1336" s="84"/>
    </row>
    <row r="1337" spans="14:14" x14ac:dyDescent="0.25">
      <c r="N1337" s="84"/>
    </row>
    <row r="1338" spans="14:14" x14ac:dyDescent="0.25">
      <c r="N1338" s="84"/>
    </row>
    <row r="1339" spans="14:14" x14ac:dyDescent="0.25">
      <c r="N1339" s="84"/>
    </row>
    <row r="1340" spans="14:14" x14ac:dyDescent="0.25">
      <c r="N1340" s="84"/>
    </row>
    <row r="1341" spans="14:14" x14ac:dyDescent="0.25">
      <c r="N1341" s="84"/>
    </row>
    <row r="1342" spans="14:14" x14ac:dyDescent="0.25">
      <c r="N1342" s="84"/>
    </row>
    <row r="1343" spans="14:14" x14ac:dyDescent="0.25">
      <c r="N1343" s="84"/>
    </row>
    <row r="1344" spans="14:14" x14ac:dyDescent="0.25">
      <c r="N1344" s="84"/>
    </row>
    <row r="1345" spans="14:14" x14ac:dyDescent="0.25">
      <c r="N1345" s="84"/>
    </row>
    <row r="1346" spans="14:14" x14ac:dyDescent="0.25">
      <c r="N1346" s="84"/>
    </row>
    <row r="1347" spans="14:14" x14ac:dyDescent="0.25">
      <c r="N1347" s="84"/>
    </row>
    <row r="1348" spans="14:14" x14ac:dyDescent="0.25">
      <c r="N1348" s="84"/>
    </row>
    <row r="1349" spans="14:14" x14ac:dyDescent="0.25">
      <c r="N1349" s="84"/>
    </row>
    <row r="1350" spans="14:14" x14ac:dyDescent="0.25">
      <c r="N1350" s="84"/>
    </row>
    <row r="1351" spans="14:14" x14ac:dyDescent="0.25">
      <c r="N1351" s="84"/>
    </row>
    <row r="1352" spans="14:14" x14ac:dyDescent="0.25">
      <c r="N1352" s="84"/>
    </row>
    <row r="1353" spans="14:14" x14ac:dyDescent="0.25">
      <c r="N1353" s="84"/>
    </row>
    <row r="1354" spans="14:14" x14ac:dyDescent="0.25">
      <c r="N1354" s="84"/>
    </row>
    <row r="1355" spans="14:14" x14ac:dyDescent="0.25">
      <c r="N1355" s="84"/>
    </row>
    <row r="1356" spans="14:14" x14ac:dyDescent="0.25">
      <c r="N1356" s="84"/>
    </row>
    <row r="1357" spans="14:14" x14ac:dyDescent="0.25">
      <c r="N1357" s="84"/>
    </row>
    <row r="1358" spans="14:14" x14ac:dyDescent="0.25">
      <c r="N1358" s="84"/>
    </row>
    <row r="1359" spans="14:14" x14ac:dyDescent="0.25">
      <c r="N1359" s="84"/>
    </row>
    <row r="1360" spans="14:14" x14ac:dyDescent="0.25">
      <c r="N1360" s="84"/>
    </row>
    <row r="1361" spans="14:14" x14ac:dyDescent="0.25">
      <c r="N1361" s="84"/>
    </row>
    <row r="1362" spans="14:14" x14ac:dyDescent="0.25">
      <c r="N1362" s="84"/>
    </row>
    <row r="1363" spans="14:14" x14ac:dyDescent="0.25">
      <c r="N1363" s="84"/>
    </row>
    <row r="1364" spans="14:14" x14ac:dyDescent="0.25">
      <c r="N1364" s="84"/>
    </row>
    <row r="1365" spans="14:14" x14ac:dyDescent="0.25">
      <c r="N1365" s="84"/>
    </row>
    <row r="1366" spans="14:14" x14ac:dyDescent="0.25">
      <c r="N1366" s="84"/>
    </row>
    <row r="1367" spans="14:14" x14ac:dyDescent="0.25">
      <c r="N1367" s="84"/>
    </row>
    <row r="1368" spans="14:14" x14ac:dyDescent="0.25">
      <c r="N1368" s="84"/>
    </row>
    <row r="1369" spans="14:14" x14ac:dyDescent="0.25">
      <c r="N1369" s="84"/>
    </row>
    <row r="1370" spans="14:14" x14ac:dyDescent="0.25">
      <c r="N1370" s="84"/>
    </row>
    <row r="1371" spans="14:14" x14ac:dyDescent="0.25">
      <c r="N1371" s="84"/>
    </row>
    <row r="1372" spans="14:14" x14ac:dyDescent="0.25">
      <c r="N1372" s="84"/>
    </row>
    <row r="1373" spans="14:14" x14ac:dyDescent="0.25">
      <c r="N1373" s="84"/>
    </row>
    <row r="1374" spans="14:14" x14ac:dyDescent="0.25">
      <c r="N1374" s="84"/>
    </row>
    <row r="1375" spans="14:14" x14ac:dyDescent="0.25">
      <c r="N1375" s="84"/>
    </row>
    <row r="1376" spans="14:14" x14ac:dyDescent="0.25">
      <c r="N1376" s="84"/>
    </row>
    <row r="1377" spans="14:14" x14ac:dyDescent="0.25">
      <c r="N1377" s="84"/>
    </row>
    <row r="1378" spans="14:14" x14ac:dyDescent="0.25">
      <c r="N1378" s="84"/>
    </row>
    <row r="1379" spans="14:14" x14ac:dyDescent="0.25">
      <c r="N1379" s="84"/>
    </row>
    <row r="1380" spans="14:14" x14ac:dyDescent="0.25">
      <c r="N1380" s="84"/>
    </row>
    <row r="1381" spans="14:14" x14ac:dyDescent="0.25">
      <c r="N1381" s="84"/>
    </row>
    <row r="1382" spans="14:14" x14ac:dyDescent="0.25">
      <c r="N1382" s="84"/>
    </row>
    <row r="1383" spans="14:14" x14ac:dyDescent="0.25">
      <c r="N1383" s="84"/>
    </row>
    <row r="1384" spans="14:14" x14ac:dyDescent="0.25">
      <c r="N1384" s="84"/>
    </row>
    <row r="1385" spans="14:14" x14ac:dyDescent="0.25">
      <c r="N1385" s="84"/>
    </row>
    <row r="1386" spans="14:14" x14ac:dyDescent="0.25">
      <c r="N1386" s="84"/>
    </row>
    <row r="1387" spans="14:14" x14ac:dyDescent="0.25">
      <c r="N1387" s="84"/>
    </row>
    <row r="1388" spans="14:14" x14ac:dyDescent="0.25">
      <c r="N1388" s="84"/>
    </row>
    <row r="1389" spans="14:14" x14ac:dyDescent="0.25">
      <c r="N1389" s="84"/>
    </row>
    <row r="1390" spans="14:14" x14ac:dyDescent="0.25">
      <c r="N1390" s="84"/>
    </row>
    <row r="1391" spans="14:14" x14ac:dyDescent="0.25">
      <c r="N1391" s="84"/>
    </row>
    <row r="1392" spans="14:14" x14ac:dyDescent="0.25">
      <c r="N1392" s="84"/>
    </row>
    <row r="1393" spans="14:14" x14ac:dyDescent="0.25">
      <c r="N1393" s="84"/>
    </row>
    <row r="1394" spans="14:14" x14ac:dyDescent="0.25">
      <c r="N1394" s="84"/>
    </row>
    <row r="1395" spans="14:14" x14ac:dyDescent="0.25">
      <c r="N1395" s="84"/>
    </row>
    <row r="1396" spans="14:14" x14ac:dyDescent="0.25">
      <c r="N1396" s="84"/>
    </row>
    <row r="1397" spans="14:14" x14ac:dyDescent="0.25">
      <c r="N1397" s="84"/>
    </row>
    <row r="1398" spans="14:14" x14ac:dyDescent="0.25">
      <c r="N1398" s="84"/>
    </row>
    <row r="1399" spans="14:14" x14ac:dyDescent="0.25">
      <c r="N1399" s="84"/>
    </row>
    <row r="1400" spans="14:14" x14ac:dyDescent="0.25">
      <c r="N1400" s="84"/>
    </row>
    <row r="1401" spans="14:14" x14ac:dyDescent="0.25">
      <c r="N1401" s="84"/>
    </row>
    <row r="1402" spans="14:14" x14ac:dyDescent="0.25">
      <c r="N1402" s="84"/>
    </row>
    <row r="1403" spans="14:14" x14ac:dyDescent="0.25">
      <c r="N1403" s="84"/>
    </row>
    <row r="1404" spans="14:14" x14ac:dyDescent="0.25">
      <c r="N1404" s="84"/>
    </row>
    <row r="1405" spans="14:14" x14ac:dyDescent="0.25">
      <c r="N1405" s="84"/>
    </row>
    <row r="1406" spans="14:14" x14ac:dyDescent="0.25">
      <c r="N1406" s="84"/>
    </row>
    <row r="1407" spans="14:14" x14ac:dyDescent="0.25">
      <c r="N1407" s="84"/>
    </row>
    <row r="1408" spans="14:14" x14ac:dyDescent="0.25">
      <c r="N1408" s="84"/>
    </row>
    <row r="1409" spans="14:14" x14ac:dyDescent="0.25">
      <c r="N1409" s="84"/>
    </row>
    <row r="1410" spans="14:14" x14ac:dyDescent="0.25">
      <c r="N1410" s="84"/>
    </row>
    <row r="1411" spans="14:14" x14ac:dyDescent="0.25">
      <c r="N1411" s="84"/>
    </row>
    <row r="1412" spans="14:14" x14ac:dyDescent="0.25">
      <c r="N1412" s="84"/>
    </row>
    <row r="1413" spans="14:14" x14ac:dyDescent="0.25">
      <c r="N1413" s="84"/>
    </row>
    <row r="1414" spans="14:14" x14ac:dyDescent="0.25">
      <c r="N1414" s="84"/>
    </row>
    <row r="1415" spans="14:14" x14ac:dyDescent="0.25">
      <c r="N1415" s="84"/>
    </row>
    <row r="1416" spans="14:14" x14ac:dyDescent="0.25">
      <c r="N1416" s="84"/>
    </row>
    <row r="1417" spans="14:14" x14ac:dyDescent="0.25">
      <c r="N1417" s="84"/>
    </row>
    <row r="1418" spans="14:14" x14ac:dyDescent="0.25">
      <c r="N1418" s="84"/>
    </row>
    <row r="1419" spans="14:14" x14ac:dyDescent="0.25">
      <c r="N1419" s="84"/>
    </row>
    <row r="1420" spans="14:14" x14ac:dyDescent="0.25">
      <c r="N1420" s="84"/>
    </row>
    <row r="1421" spans="14:14" x14ac:dyDescent="0.25">
      <c r="N1421" s="84"/>
    </row>
    <row r="1422" spans="14:14" x14ac:dyDescent="0.25">
      <c r="N1422" s="84"/>
    </row>
    <row r="1423" spans="14:14" x14ac:dyDescent="0.25">
      <c r="N1423" s="84"/>
    </row>
    <row r="1424" spans="14:14" x14ac:dyDescent="0.25">
      <c r="N1424" s="84"/>
    </row>
    <row r="1425" spans="14:14" x14ac:dyDescent="0.25">
      <c r="N1425" s="84"/>
    </row>
    <row r="1426" spans="14:14" x14ac:dyDescent="0.25">
      <c r="N1426" s="84"/>
    </row>
    <row r="1427" spans="14:14" x14ac:dyDescent="0.25">
      <c r="N1427" s="84"/>
    </row>
    <row r="1428" spans="14:14" x14ac:dyDescent="0.25">
      <c r="N1428" s="84"/>
    </row>
    <row r="1429" spans="14:14" x14ac:dyDescent="0.25">
      <c r="N1429" s="84"/>
    </row>
    <row r="1430" spans="14:14" x14ac:dyDescent="0.25">
      <c r="N1430" s="84"/>
    </row>
    <row r="1431" spans="14:14" x14ac:dyDescent="0.25">
      <c r="N1431" s="84"/>
    </row>
    <row r="1432" spans="14:14" x14ac:dyDescent="0.25">
      <c r="N1432" s="84"/>
    </row>
    <row r="1433" spans="14:14" x14ac:dyDescent="0.25">
      <c r="N1433" s="84"/>
    </row>
    <row r="1434" spans="14:14" x14ac:dyDescent="0.25">
      <c r="N1434" s="84"/>
    </row>
    <row r="1435" spans="14:14" x14ac:dyDescent="0.25">
      <c r="N1435" s="84"/>
    </row>
    <row r="1436" spans="14:14" x14ac:dyDescent="0.25">
      <c r="N1436" s="84"/>
    </row>
    <row r="1437" spans="14:14" x14ac:dyDescent="0.25">
      <c r="N1437" s="84"/>
    </row>
    <row r="1438" spans="14:14" x14ac:dyDescent="0.25">
      <c r="N1438" s="84"/>
    </row>
    <row r="1439" spans="14:14" x14ac:dyDescent="0.25">
      <c r="N1439" s="84"/>
    </row>
    <row r="1440" spans="14:14" x14ac:dyDescent="0.25">
      <c r="N1440" s="84"/>
    </row>
    <row r="1441" spans="14:14" x14ac:dyDescent="0.25">
      <c r="N1441" s="84"/>
    </row>
    <row r="1442" spans="14:14" x14ac:dyDescent="0.25">
      <c r="N1442" s="84"/>
    </row>
    <row r="1443" spans="14:14" x14ac:dyDescent="0.25">
      <c r="N1443" s="84"/>
    </row>
    <row r="1444" spans="14:14" x14ac:dyDescent="0.25">
      <c r="N1444" s="84"/>
    </row>
    <row r="1445" spans="14:14" x14ac:dyDescent="0.25">
      <c r="N1445" s="84"/>
    </row>
    <row r="1446" spans="14:14" x14ac:dyDescent="0.25">
      <c r="N1446" s="84"/>
    </row>
    <row r="1447" spans="14:14" x14ac:dyDescent="0.25">
      <c r="N1447" s="84"/>
    </row>
    <row r="1448" spans="14:14" x14ac:dyDescent="0.25">
      <c r="N1448" s="84"/>
    </row>
    <row r="1449" spans="14:14" x14ac:dyDescent="0.25">
      <c r="N1449" s="84"/>
    </row>
    <row r="1450" spans="14:14" x14ac:dyDescent="0.25">
      <c r="N1450" s="84"/>
    </row>
    <row r="1451" spans="14:14" x14ac:dyDescent="0.25">
      <c r="N1451" s="84"/>
    </row>
    <row r="1452" spans="14:14" x14ac:dyDescent="0.25">
      <c r="N1452" s="84"/>
    </row>
    <row r="1453" spans="14:14" x14ac:dyDescent="0.25">
      <c r="N1453" s="84"/>
    </row>
    <row r="1454" spans="14:14" x14ac:dyDescent="0.25">
      <c r="N1454" s="84"/>
    </row>
    <row r="1455" spans="14:14" x14ac:dyDescent="0.25">
      <c r="N1455" s="84"/>
    </row>
    <row r="1456" spans="14:14" x14ac:dyDescent="0.25">
      <c r="N1456" s="84"/>
    </row>
    <row r="1457" spans="14:14" x14ac:dyDescent="0.25">
      <c r="N1457" s="84"/>
    </row>
    <row r="1458" spans="14:14" x14ac:dyDescent="0.25">
      <c r="N1458" s="84"/>
    </row>
    <row r="1459" spans="14:14" x14ac:dyDescent="0.25">
      <c r="N1459" s="84"/>
    </row>
    <row r="1460" spans="14:14" x14ac:dyDescent="0.25">
      <c r="N1460" s="84"/>
    </row>
    <row r="1461" spans="14:14" x14ac:dyDescent="0.25">
      <c r="N1461" s="84"/>
    </row>
    <row r="1462" spans="14:14" x14ac:dyDescent="0.25">
      <c r="N1462" s="84"/>
    </row>
    <row r="1463" spans="14:14" x14ac:dyDescent="0.25">
      <c r="N1463" s="84"/>
    </row>
    <row r="1464" spans="14:14" x14ac:dyDescent="0.25">
      <c r="N1464" s="84"/>
    </row>
    <row r="1465" spans="14:14" x14ac:dyDescent="0.25">
      <c r="N1465" s="84"/>
    </row>
    <row r="1466" spans="14:14" x14ac:dyDescent="0.25">
      <c r="N1466" s="84"/>
    </row>
    <row r="1467" spans="14:14" x14ac:dyDescent="0.25">
      <c r="N1467" s="84"/>
    </row>
    <row r="1468" spans="14:14" x14ac:dyDescent="0.25">
      <c r="N1468" s="84"/>
    </row>
    <row r="1469" spans="14:14" x14ac:dyDescent="0.25">
      <c r="N1469" s="84"/>
    </row>
    <row r="1470" spans="14:14" x14ac:dyDescent="0.25">
      <c r="N1470" s="84"/>
    </row>
    <row r="1471" spans="14:14" x14ac:dyDescent="0.25">
      <c r="N1471" s="84"/>
    </row>
    <row r="1472" spans="14:14" x14ac:dyDescent="0.25">
      <c r="N1472" s="84"/>
    </row>
    <row r="1473" spans="14:14" x14ac:dyDescent="0.25">
      <c r="N1473" s="84"/>
    </row>
    <row r="1474" spans="14:14" x14ac:dyDescent="0.25">
      <c r="N1474" s="84"/>
    </row>
    <row r="1475" spans="14:14" x14ac:dyDescent="0.25">
      <c r="N1475" s="84"/>
    </row>
    <row r="1476" spans="14:14" x14ac:dyDescent="0.25">
      <c r="N1476" s="84"/>
    </row>
    <row r="1477" spans="14:14" x14ac:dyDescent="0.25">
      <c r="N1477" s="84"/>
    </row>
    <row r="1478" spans="14:14" x14ac:dyDescent="0.25">
      <c r="N1478" s="84"/>
    </row>
    <row r="1479" spans="14:14" x14ac:dyDescent="0.25">
      <c r="N1479" s="84"/>
    </row>
    <row r="1480" spans="14:14" x14ac:dyDescent="0.25">
      <c r="N1480" s="84"/>
    </row>
    <row r="1481" spans="14:14" x14ac:dyDescent="0.25">
      <c r="N1481" s="84"/>
    </row>
    <row r="1482" spans="14:14" x14ac:dyDescent="0.25">
      <c r="N1482" s="84"/>
    </row>
    <row r="1483" spans="14:14" x14ac:dyDescent="0.25">
      <c r="N1483" s="84"/>
    </row>
    <row r="1484" spans="14:14" x14ac:dyDescent="0.25">
      <c r="N1484" s="84"/>
    </row>
    <row r="1485" spans="14:14" x14ac:dyDescent="0.25">
      <c r="N1485" s="84"/>
    </row>
    <row r="1486" spans="14:14" x14ac:dyDescent="0.25">
      <c r="N1486" s="84"/>
    </row>
    <row r="1487" spans="14:14" x14ac:dyDescent="0.25">
      <c r="N1487" s="84"/>
    </row>
    <row r="1488" spans="14:14" x14ac:dyDescent="0.25">
      <c r="N1488" s="84"/>
    </row>
    <row r="1489" spans="14:14" x14ac:dyDescent="0.25">
      <c r="N1489" s="84"/>
    </row>
    <row r="1490" spans="14:14" x14ac:dyDescent="0.25">
      <c r="N1490" s="84"/>
    </row>
    <row r="1491" spans="14:14" x14ac:dyDescent="0.25">
      <c r="N1491" s="84"/>
    </row>
    <row r="1492" spans="14:14" x14ac:dyDescent="0.25">
      <c r="N1492" s="84"/>
    </row>
    <row r="1493" spans="14:14" x14ac:dyDescent="0.25">
      <c r="N1493" s="84"/>
    </row>
    <row r="1494" spans="14:14" x14ac:dyDescent="0.25">
      <c r="N1494" s="84"/>
    </row>
    <row r="1495" spans="14:14" x14ac:dyDescent="0.25">
      <c r="N1495" s="84"/>
    </row>
    <row r="1496" spans="14:14" x14ac:dyDescent="0.25">
      <c r="N1496" s="84"/>
    </row>
    <row r="1497" spans="14:14" x14ac:dyDescent="0.25">
      <c r="N1497" s="84"/>
    </row>
    <row r="1498" spans="14:14" x14ac:dyDescent="0.25">
      <c r="N1498" s="84"/>
    </row>
    <row r="1499" spans="14:14" x14ac:dyDescent="0.25">
      <c r="N1499" s="84"/>
    </row>
    <row r="1500" spans="14:14" x14ac:dyDescent="0.25">
      <c r="N1500" s="84"/>
    </row>
    <row r="1501" spans="14:14" x14ac:dyDescent="0.25">
      <c r="N1501" s="84"/>
    </row>
    <row r="1502" spans="14:14" x14ac:dyDescent="0.25">
      <c r="N1502" s="84"/>
    </row>
    <row r="1503" spans="14:14" x14ac:dyDescent="0.25">
      <c r="N1503" s="84"/>
    </row>
    <row r="1504" spans="14:14" x14ac:dyDescent="0.25">
      <c r="N1504" s="84"/>
    </row>
    <row r="1505" spans="14:14" x14ac:dyDescent="0.25">
      <c r="N1505" s="84"/>
    </row>
    <row r="1506" spans="14:14" x14ac:dyDescent="0.25">
      <c r="N1506" s="84"/>
    </row>
    <row r="1507" spans="14:14" x14ac:dyDescent="0.25">
      <c r="N1507" s="84"/>
    </row>
    <row r="1508" spans="14:14" x14ac:dyDescent="0.25">
      <c r="N1508" s="84"/>
    </row>
    <row r="1509" spans="14:14" x14ac:dyDescent="0.25">
      <c r="N1509" s="84"/>
    </row>
    <row r="1510" spans="14:14" x14ac:dyDescent="0.25">
      <c r="N1510" s="84"/>
    </row>
    <row r="1511" spans="14:14" x14ac:dyDescent="0.25">
      <c r="N1511" s="84"/>
    </row>
    <row r="1512" spans="14:14" x14ac:dyDescent="0.25">
      <c r="N1512" s="84"/>
    </row>
    <row r="1513" spans="14:14" x14ac:dyDescent="0.25">
      <c r="N1513" s="84"/>
    </row>
    <row r="1514" spans="14:14" x14ac:dyDescent="0.25">
      <c r="N1514" s="84"/>
    </row>
    <row r="1515" spans="14:14" x14ac:dyDescent="0.25">
      <c r="N1515" s="84"/>
    </row>
    <row r="1516" spans="14:14" x14ac:dyDescent="0.25">
      <c r="N1516" s="84"/>
    </row>
    <row r="1517" spans="14:14" x14ac:dyDescent="0.25">
      <c r="N1517" s="84"/>
    </row>
    <row r="1518" spans="14:14" x14ac:dyDescent="0.25">
      <c r="N1518" s="84"/>
    </row>
    <row r="1519" spans="14:14" x14ac:dyDescent="0.25">
      <c r="N1519" s="84"/>
    </row>
    <row r="1520" spans="14:14" x14ac:dyDescent="0.25">
      <c r="N1520" s="84"/>
    </row>
    <row r="1521" spans="14:14" x14ac:dyDescent="0.25">
      <c r="N1521" s="84"/>
    </row>
    <row r="1522" spans="14:14" x14ac:dyDescent="0.25">
      <c r="N1522" s="84"/>
    </row>
    <row r="1523" spans="14:14" x14ac:dyDescent="0.25">
      <c r="N1523" s="84"/>
    </row>
    <row r="1524" spans="14:14" x14ac:dyDescent="0.25">
      <c r="N1524" s="84"/>
    </row>
    <row r="1525" spans="14:14" x14ac:dyDescent="0.25">
      <c r="N1525" s="84"/>
    </row>
    <row r="1526" spans="14:14" x14ac:dyDescent="0.25">
      <c r="N1526" s="84"/>
    </row>
    <row r="1527" spans="14:14" x14ac:dyDescent="0.25">
      <c r="N1527" s="84"/>
    </row>
    <row r="1528" spans="14:14" x14ac:dyDescent="0.25">
      <c r="N1528" s="84"/>
    </row>
    <row r="1529" spans="14:14" x14ac:dyDescent="0.25">
      <c r="N1529" s="84"/>
    </row>
    <row r="1530" spans="14:14" x14ac:dyDescent="0.25">
      <c r="N1530" s="84"/>
    </row>
    <row r="1531" spans="14:14" x14ac:dyDescent="0.25">
      <c r="N1531" s="84"/>
    </row>
    <row r="1532" spans="14:14" x14ac:dyDescent="0.25">
      <c r="N1532" s="84"/>
    </row>
    <row r="1533" spans="14:14" x14ac:dyDescent="0.25">
      <c r="N1533" s="84"/>
    </row>
    <row r="1534" spans="14:14" x14ac:dyDescent="0.25">
      <c r="N1534" s="84"/>
    </row>
    <row r="1535" spans="14:14" x14ac:dyDescent="0.25">
      <c r="N1535" s="84"/>
    </row>
    <row r="1536" spans="14:14" x14ac:dyDescent="0.25">
      <c r="N1536" s="84"/>
    </row>
    <row r="1537" spans="14:14" x14ac:dyDescent="0.25">
      <c r="N1537" s="84"/>
    </row>
    <row r="1538" spans="14:14" x14ac:dyDescent="0.25">
      <c r="N1538" s="84"/>
    </row>
    <row r="1539" spans="14:14" x14ac:dyDescent="0.25">
      <c r="N1539" s="84"/>
    </row>
    <row r="1540" spans="14:14" x14ac:dyDescent="0.25">
      <c r="N1540" s="84"/>
    </row>
    <row r="1541" spans="14:14" x14ac:dyDescent="0.25">
      <c r="N1541" s="84"/>
    </row>
    <row r="1542" spans="14:14" x14ac:dyDescent="0.25">
      <c r="N1542" s="84"/>
    </row>
    <row r="1543" spans="14:14" x14ac:dyDescent="0.25">
      <c r="N1543" s="84"/>
    </row>
    <row r="1544" spans="14:14" x14ac:dyDescent="0.25">
      <c r="N1544" s="84"/>
    </row>
    <row r="1545" spans="14:14" x14ac:dyDescent="0.25">
      <c r="N1545" s="84"/>
    </row>
    <row r="1546" spans="14:14" x14ac:dyDescent="0.25">
      <c r="N1546" s="84"/>
    </row>
    <row r="1547" spans="14:14" x14ac:dyDescent="0.25">
      <c r="N1547" s="84"/>
    </row>
    <row r="1548" spans="14:14" x14ac:dyDescent="0.25">
      <c r="N1548" s="84"/>
    </row>
    <row r="1549" spans="14:14" x14ac:dyDescent="0.25">
      <c r="N1549" s="84"/>
    </row>
    <row r="1550" spans="14:14" x14ac:dyDescent="0.25">
      <c r="N1550" s="84"/>
    </row>
    <row r="1551" spans="14:14" x14ac:dyDescent="0.25">
      <c r="N1551" s="84"/>
    </row>
    <row r="1552" spans="14:14" x14ac:dyDescent="0.25">
      <c r="N1552" s="84"/>
    </row>
    <row r="1553" spans="14:14" x14ac:dyDescent="0.25">
      <c r="N1553" s="84"/>
    </row>
    <row r="1554" spans="14:14" x14ac:dyDescent="0.25">
      <c r="N1554" s="84"/>
    </row>
    <row r="1555" spans="14:14" x14ac:dyDescent="0.25">
      <c r="N1555" s="84"/>
    </row>
    <row r="1556" spans="14:14" x14ac:dyDescent="0.25">
      <c r="N1556" s="84"/>
    </row>
    <row r="1557" spans="14:14" x14ac:dyDescent="0.25">
      <c r="N1557" s="84"/>
    </row>
    <row r="1558" spans="14:14" x14ac:dyDescent="0.25">
      <c r="N1558" s="84"/>
    </row>
    <row r="1559" spans="14:14" x14ac:dyDescent="0.25">
      <c r="N1559" s="84"/>
    </row>
    <row r="1560" spans="14:14" x14ac:dyDescent="0.25">
      <c r="N1560" s="84"/>
    </row>
    <row r="1561" spans="14:14" x14ac:dyDescent="0.25">
      <c r="N1561" s="84"/>
    </row>
    <row r="1562" spans="14:14" x14ac:dyDescent="0.25">
      <c r="N1562" s="84"/>
    </row>
    <row r="1563" spans="14:14" x14ac:dyDescent="0.25">
      <c r="N1563" s="84"/>
    </row>
    <row r="1564" spans="14:14" x14ac:dyDescent="0.25">
      <c r="N1564" s="84"/>
    </row>
    <row r="1565" spans="14:14" x14ac:dyDescent="0.25">
      <c r="N1565" s="84"/>
    </row>
    <row r="1566" spans="14:14" x14ac:dyDescent="0.25">
      <c r="N1566" s="84"/>
    </row>
    <row r="1567" spans="14:14" x14ac:dyDescent="0.25">
      <c r="N1567" s="84"/>
    </row>
    <row r="1568" spans="14:14" x14ac:dyDescent="0.25">
      <c r="N1568" s="84"/>
    </row>
    <row r="1569" spans="14:14" x14ac:dyDescent="0.25">
      <c r="N1569" s="84"/>
    </row>
    <row r="1570" spans="14:14" x14ac:dyDescent="0.25">
      <c r="N1570" s="84"/>
    </row>
    <row r="1571" spans="14:14" x14ac:dyDescent="0.25">
      <c r="N1571" s="84"/>
    </row>
    <row r="1572" spans="14:14" x14ac:dyDescent="0.25">
      <c r="N1572" s="84"/>
    </row>
    <row r="1573" spans="14:14" x14ac:dyDescent="0.25">
      <c r="N1573" s="84"/>
    </row>
    <row r="1574" spans="14:14" x14ac:dyDescent="0.25">
      <c r="N1574" s="84"/>
    </row>
    <row r="1575" spans="14:14" x14ac:dyDescent="0.25">
      <c r="N1575" s="84"/>
    </row>
    <row r="1576" spans="14:14" x14ac:dyDescent="0.25">
      <c r="N1576" s="84"/>
    </row>
    <row r="1577" spans="14:14" x14ac:dyDescent="0.25">
      <c r="N1577" s="84"/>
    </row>
    <row r="1578" spans="14:14" x14ac:dyDescent="0.25">
      <c r="N1578" s="84"/>
    </row>
    <row r="1579" spans="14:14" x14ac:dyDescent="0.25">
      <c r="N1579" s="84"/>
    </row>
    <row r="1580" spans="14:14" x14ac:dyDescent="0.25">
      <c r="N1580" s="84"/>
    </row>
    <row r="1581" spans="14:14" x14ac:dyDescent="0.25">
      <c r="N1581" s="84"/>
    </row>
    <row r="1582" spans="14:14" x14ac:dyDescent="0.25">
      <c r="N1582" s="84"/>
    </row>
    <row r="1583" spans="14:14" x14ac:dyDescent="0.25">
      <c r="N1583" s="84"/>
    </row>
    <row r="1584" spans="14:14" x14ac:dyDescent="0.25">
      <c r="N1584" s="84"/>
    </row>
    <row r="1585" spans="14:14" x14ac:dyDescent="0.25">
      <c r="N1585" s="84"/>
    </row>
    <row r="1586" spans="14:14" x14ac:dyDescent="0.25">
      <c r="N1586" s="84"/>
    </row>
    <row r="1587" spans="14:14" x14ac:dyDescent="0.25">
      <c r="N1587" s="84"/>
    </row>
    <row r="1588" spans="14:14" x14ac:dyDescent="0.25">
      <c r="N1588" s="84"/>
    </row>
    <row r="1589" spans="14:14" x14ac:dyDescent="0.25">
      <c r="N1589" s="84"/>
    </row>
    <row r="1590" spans="14:14" x14ac:dyDescent="0.25">
      <c r="N1590" s="84"/>
    </row>
    <row r="1591" spans="14:14" x14ac:dyDescent="0.25">
      <c r="N1591" s="84"/>
    </row>
    <row r="1592" spans="14:14" x14ac:dyDescent="0.25">
      <c r="N1592" s="84"/>
    </row>
    <row r="1593" spans="14:14" x14ac:dyDescent="0.25">
      <c r="N1593" s="84"/>
    </row>
    <row r="1594" spans="14:14" x14ac:dyDescent="0.25">
      <c r="N1594" s="84"/>
    </row>
    <row r="1595" spans="14:14" x14ac:dyDescent="0.25">
      <c r="N1595" s="84"/>
    </row>
    <row r="1596" spans="14:14" x14ac:dyDescent="0.25">
      <c r="N1596" s="84"/>
    </row>
    <row r="1597" spans="14:14" x14ac:dyDescent="0.25">
      <c r="N1597" s="84"/>
    </row>
    <row r="1598" spans="14:14" x14ac:dyDescent="0.25">
      <c r="N1598" s="84"/>
    </row>
    <row r="1599" spans="14:14" x14ac:dyDescent="0.25">
      <c r="N1599" s="84"/>
    </row>
    <row r="1600" spans="14:14" x14ac:dyDescent="0.25">
      <c r="N1600" s="84"/>
    </row>
    <row r="1601" spans="14:14" x14ac:dyDescent="0.25">
      <c r="N1601" s="84"/>
    </row>
    <row r="1602" spans="14:14" x14ac:dyDescent="0.25">
      <c r="N1602" s="84"/>
    </row>
    <row r="1603" spans="14:14" x14ac:dyDescent="0.25">
      <c r="N1603" s="84"/>
    </row>
    <row r="1604" spans="14:14" x14ac:dyDescent="0.25">
      <c r="N1604" s="84"/>
    </row>
    <row r="1605" spans="14:14" x14ac:dyDescent="0.25">
      <c r="N1605" s="84"/>
    </row>
    <row r="1606" spans="14:14" x14ac:dyDescent="0.25">
      <c r="N1606" s="84"/>
    </row>
    <row r="1607" spans="14:14" x14ac:dyDescent="0.25">
      <c r="N1607" s="84"/>
    </row>
    <row r="1608" spans="14:14" x14ac:dyDescent="0.25">
      <c r="N1608" s="84"/>
    </row>
    <row r="1609" spans="14:14" x14ac:dyDescent="0.25">
      <c r="N1609" s="84"/>
    </row>
    <row r="1610" spans="14:14" x14ac:dyDescent="0.25">
      <c r="N1610" s="84"/>
    </row>
    <row r="1611" spans="14:14" x14ac:dyDescent="0.25">
      <c r="N1611" s="84"/>
    </row>
    <row r="1612" spans="14:14" x14ac:dyDescent="0.25">
      <c r="N1612" s="84"/>
    </row>
    <row r="1613" spans="14:14" x14ac:dyDescent="0.25">
      <c r="N1613" s="84"/>
    </row>
    <row r="1614" spans="14:14" x14ac:dyDescent="0.25">
      <c r="N1614" s="84"/>
    </row>
    <row r="1615" spans="14:14" x14ac:dyDescent="0.25">
      <c r="N1615" s="84"/>
    </row>
    <row r="1616" spans="14:14" x14ac:dyDescent="0.25">
      <c r="N1616" s="84"/>
    </row>
    <row r="1617" spans="14:14" x14ac:dyDescent="0.25">
      <c r="N1617" s="84"/>
    </row>
    <row r="1618" spans="14:14" x14ac:dyDescent="0.25">
      <c r="N1618" s="84"/>
    </row>
    <row r="1619" spans="14:14" x14ac:dyDescent="0.25">
      <c r="N1619" s="84"/>
    </row>
    <row r="1620" spans="14:14" x14ac:dyDescent="0.25">
      <c r="N1620" s="84"/>
    </row>
    <row r="1621" spans="14:14" x14ac:dyDescent="0.25">
      <c r="N1621" s="84"/>
    </row>
    <row r="1622" spans="14:14" x14ac:dyDescent="0.25">
      <c r="N1622" s="84"/>
    </row>
    <row r="1623" spans="14:14" x14ac:dyDescent="0.25">
      <c r="N1623" s="84"/>
    </row>
    <row r="1624" spans="14:14" x14ac:dyDescent="0.25">
      <c r="N1624" s="84"/>
    </row>
    <row r="1625" spans="14:14" x14ac:dyDescent="0.25">
      <c r="N1625" s="84"/>
    </row>
    <row r="1626" spans="14:14" x14ac:dyDescent="0.25">
      <c r="N1626" s="84"/>
    </row>
    <row r="1627" spans="14:14" x14ac:dyDescent="0.25">
      <c r="N1627" s="84"/>
    </row>
    <row r="1628" spans="14:14" x14ac:dyDescent="0.25">
      <c r="N1628" s="84"/>
    </row>
    <row r="1629" spans="14:14" x14ac:dyDescent="0.25">
      <c r="N1629" s="84"/>
    </row>
    <row r="1630" spans="14:14" x14ac:dyDescent="0.25">
      <c r="N1630" s="84"/>
    </row>
    <row r="1631" spans="14:14" x14ac:dyDescent="0.25">
      <c r="N1631" s="84"/>
    </row>
    <row r="1632" spans="14:14" x14ac:dyDescent="0.25">
      <c r="N1632" s="84"/>
    </row>
    <row r="1633" spans="14:14" x14ac:dyDescent="0.25">
      <c r="N1633" s="84"/>
    </row>
    <row r="1634" spans="14:14" x14ac:dyDescent="0.25">
      <c r="N1634" s="84"/>
    </row>
    <row r="1635" spans="14:14" x14ac:dyDescent="0.25">
      <c r="N1635" s="84"/>
    </row>
    <row r="1636" spans="14:14" x14ac:dyDescent="0.25">
      <c r="N1636" s="84"/>
    </row>
    <row r="1637" spans="14:14" x14ac:dyDescent="0.25">
      <c r="N1637" s="84"/>
    </row>
    <row r="1638" spans="14:14" x14ac:dyDescent="0.25">
      <c r="N1638" s="84"/>
    </row>
    <row r="1639" spans="14:14" x14ac:dyDescent="0.25">
      <c r="N1639" s="84"/>
    </row>
    <row r="1640" spans="14:14" x14ac:dyDescent="0.25">
      <c r="N1640" s="84"/>
    </row>
    <row r="1641" spans="14:14" x14ac:dyDescent="0.25">
      <c r="N1641" s="84"/>
    </row>
    <row r="1642" spans="14:14" x14ac:dyDescent="0.25">
      <c r="N1642" s="84"/>
    </row>
    <row r="1643" spans="14:14" x14ac:dyDescent="0.25">
      <c r="N1643" s="84"/>
    </row>
    <row r="1644" spans="14:14" x14ac:dyDescent="0.25">
      <c r="N1644" s="84"/>
    </row>
    <row r="1645" spans="14:14" x14ac:dyDescent="0.25">
      <c r="N1645" s="84"/>
    </row>
    <row r="1646" spans="14:14" x14ac:dyDescent="0.25">
      <c r="N1646" s="84"/>
    </row>
    <row r="1647" spans="14:14" x14ac:dyDescent="0.25">
      <c r="N1647" s="84"/>
    </row>
    <row r="1648" spans="14:14" x14ac:dyDescent="0.25">
      <c r="N1648" s="84"/>
    </row>
    <row r="1649" spans="14:14" x14ac:dyDescent="0.25">
      <c r="N1649" s="84"/>
    </row>
    <row r="1650" spans="14:14" x14ac:dyDescent="0.25">
      <c r="N1650" s="84"/>
    </row>
    <row r="1651" spans="14:14" x14ac:dyDescent="0.25">
      <c r="N1651" s="84"/>
    </row>
    <row r="1652" spans="14:14" x14ac:dyDescent="0.25">
      <c r="N1652" s="84"/>
    </row>
    <row r="1653" spans="14:14" x14ac:dyDescent="0.25">
      <c r="N1653" s="84"/>
    </row>
    <row r="1654" spans="14:14" x14ac:dyDescent="0.25">
      <c r="N1654" s="84"/>
    </row>
    <row r="1655" spans="14:14" x14ac:dyDescent="0.25">
      <c r="N1655" s="84"/>
    </row>
    <row r="1656" spans="14:14" x14ac:dyDescent="0.25">
      <c r="N1656" s="84"/>
    </row>
    <row r="1657" spans="14:14" x14ac:dyDescent="0.25">
      <c r="N1657" s="84"/>
    </row>
    <row r="1658" spans="14:14" x14ac:dyDescent="0.25">
      <c r="N1658" s="84"/>
    </row>
    <row r="1659" spans="14:14" x14ac:dyDescent="0.25">
      <c r="N1659" s="84"/>
    </row>
    <row r="1660" spans="14:14" x14ac:dyDescent="0.25">
      <c r="N1660" s="84"/>
    </row>
    <row r="1661" spans="14:14" x14ac:dyDescent="0.25">
      <c r="N1661" s="84"/>
    </row>
    <row r="1662" spans="14:14" x14ac:dyDescent="0.25">
      <c r="N1662" s="84"/>
    </row>
    <row r="1663" spans="14:14" x14ac:dyDescent="0.25">
      <c r="N1663" s="84"/>
    </row>
    <row r="1664" spans="14:14" x14ac:dyDescent="0.25">
      <c r="N1664" s="84"/>
    </row>
    <row r="1665" spans="14:14" x14ac:dyDescent="0.25">
      <c r="N1665" s="84"/>
    </row>
    <row r="1666" spans="14:14" x14ac:dyDescent="0.25">
      <c r="N1666" s="84"/>
    </row>
    <row r="1667" spans="14:14" x14ac:dyDescent="0.25">
      <c r="N1667" s="84"/>
    </row>
    <row r="1668" spans="14:14" x14ac:dyDescent="0.25">
      <c r="N1668" s="84"/>
    </row>
    <row r="1669" spans="14:14" x14ac:dyDescent="0.25">
      <c r="N1669" s="84"/>
    </row>
    <row r="1670" spans="14:14" x14ac:dyDescent="0.25">
      <c r="N1670" s="84"/>
    </row>
    <row r="1671" spans="14:14" x14ac:dyDescent="0.25">
      <c r="N1671" s="84"/>
    </row>
    <row r="1672" spans="14:14" x14ac:dyDescent="0.25">
      <c r="N1672" s="84"/>
    </row>
    <row r="1673" spans="14:14" x14ac:dyDescent="0.25">
      <c r="N1673" s="84"/>
    </row>
    <row r="1674" spans="14:14" x14ac:dyDescent="0.25">
      <c r="N1674" s="84"/>
    </row>
    <row r="1675" spans="14:14" x14ac:dyDescent="0.25">
      <c r="N1675" s="84"/>
    </row>
    <row r="1676" spans="14:14" x14ac:dyDescent="0.25">
      <c r="N1676" s="84"/>
    </row>
    <row r="1677" spans="14:14" x14ac:dyDescent="0.25">
      <c r="N1677" s="84"/>
    </row>
    <row r="1678" spans="14:14" x14ac:dyDescent="0.25">
      <c r="N1678" s="84"/>
    </row>
    <row r="1679" spans="14:14" x14ac:dyDescent="0.25">
      <c r="N1679" s="84"/>
    </row>
    <row r="1680" spans="14:14" x14ac:dyDescent="0.25">
      <c r="N1680" s="84"/>
    </row>
    <row r="1681" spans="14:14" x14ac:dyDescent="0.25">
      <c r="N1681" s="84"/>
    </row>
    <row r="1682" spans="14:14" x14ac:dyDescent="0.25">
      <c r="N1682" s="84"/>
    </row>
    <row r="1683" spans="14:14" x14ac:dyDescent="0.25">
      <c r="N1683" s="84"/>
    </row>
    <row r="1684" spans="14:14" x14ac:dyDescent="0.25">
      <c r="N1684" s="84"/>
    </row>
    <row r="1685" spans="14:14" x14ac:dyDescent="0.25">
      <c r="N1685" s="84"/>
    </row>
    <row r="1686" spans="14:14" x14ac:dyDescent="0.25">
      <c r="N1686" s="84"/>
    </row>
    <row r="1687" spans="14:14" x14ac:dyDescent="0.25">
      <c r="N1687" s="84"/>
    </row>
    <row r="1688" spans="14:14" x14ac:dyDescent="0.25">
      <c r="N1688" s="84"/>
    </row>
    <row r="1689" spans="14:14" x14ac:dyDescent="0.25">
      <c r="N1689" s="84"/>
    </row>
    <row r="1690" spans="14:14" x14ac:dyDescent="0.25">
      <c r="N1690" s="84"/>
    </row>
    <row r="1691" spans="14:14" x14ac:dyDescent="0.25">
      <c r="N1691" s="84"/>
    </row>
    <row r="1692" spans="14:14" x14ac:dyDescent="0.25">
      <c r="N1692" s="84"/>
    </row>
    <row r="1693" spans="14:14" x14ac:dyDescent="0.25">
      <c r="N1693" s="84"/>
    </row>
    <row r="1694" spans="14:14" x14ac:dyDescent="0.25">
      <c r="N1694" s="84"/>
    </row>
    <row r="1695" spans="14:14" x14ac:dyDescent="0.25">
      <c r="N1695" s="84"/>
    </row>
    <row r="1696" spans="14:14" x14ac:dyDescent="0.25">
      <c r="N1696" s="84"/>
    </row>
    <row r="1697" spans="14:14" x14ac:dyDescent="0.25">
      <c r="N1697" s="84"/>
    </row>
    <row r="1698" spans="14:14" x14ac:dyDescent="0.25">
      <c r="N1698" s="84"/>
    </row>
    <row r="1699" spans="14:14" x14ac:dyDescent="0.25">
      <c r="N1699" s="84"/>
    </row>
    <row r="1700" spans="14:14" x14ac:dyDescent="0.25">
      <c r="N1700" s="84"/>
    </row>
    <row r="1701" spans="14:14" x14ac:dyDescent="0.25">
      <c r="N1701" s="84"/>
    </row>
    <row r="1702" spans="14:14" x14ac:dyDescent="0.25">
      <c r="N1702" s="84"/>
    </row>
    <row r="1703" spans="14:14" x14ac:dyDescent="0.25">
      <c r="N1703" s="84"/>
    </row>
    <row r="1704" spans="14:14" x14ac:dyDescent="0.25">
      <c r="N1704" s="84"/>
    </row>
    <row r="1705" spans="14:14" x14ac:dyDescent="0.25">
      <c r="N1705" s="84"/>
    </row>
    <row r="1706" spans="14:14" x14ac:dyDescent="0.25">
      <c r="N1706" s="84"/>
    </row>
    <row r="1707" spans="14:14" x14ac:dyDescent="0.25">
      <c r="N1707" s="84"/>
    </row>
    <row r="1708" spans="14:14" x14ac:dyDescent="0.25">
      <c r="N1708" s="84"/>
    </row>
    <row r="1709" spans="14:14" x14ac:dyDescent="0.25">
      <c r="N1709" s="84"/>
    </row>
    <row r="1710" spans="14:14" x14ac:dyDescent="0.25">
      <c r="N1710" s="84"/>
    </row>
    <row r="1711" spans="14:14" x14ac:dyDescent="0.25">
      <c r="N1711" s="84"/>
    </row>
    <row r="1712" spans="14:14" x14ac:dyDescent="0.25">
      <c r="N1712" s="84"/>
    </row>
    <row r="1713" spans="14:14" x14ac:dyDescent="0.25">
      <c r="N1713" s="84"/>
    </row>
    <row r="1714" spans="14:14" x14ac:dyDescent="0.25">
      <c r="N1714" s="84"/>
    </row>
    <row r="1715" spans="14:14" x14ac:dyDescent="0.25">
      <c r="N1715" s="84"/>
    </row>
    <row r="1716" spans="14:14" x14ac:dyDescent="0.25">
      <c r="N1716" s="84"/>
    </row>
    <row r="1717" spans="14:14" x14ac:dyDescent="0.25">
      <c r="N1717" s="84"/>
    </row>
    <row r="1718" spans="14:14" x14ac:dyDescent="0.25">
      <c r="N1718" s="84"/>
    </row>
    <row r="1719" spans="14:14" x14ac:dyDescent="0.25">
      <c r="N1719" s="84"/>
    </row>
    <row r="1720" spans="14:14" x14ac:dyDescent="0.25">
      <c r="N1720" s="84"/>
    </row>
    <row r="1721" spans="14:14" x14ac:dyDescent="0.25">
      <c r="N1721" s="84"/>
    </row>
    <row r="1722" spans="14:14" x14ac:dyDescent="0.25">
      <c r="N1722" s="84"/>
    </row>
    <row r="1723" spans="14:14" x14ac:dyDescent="0.25">
      <c r="N1723" s="84"/>
    </row>
    <row r="1724" spans="14:14" x14ac:dyDescent="0.25">
      <c r="N1724" s="84"/>
    </row>
    <row r="1725" spans="14:14" x14ac:dyDescent="0.25">
      <c r="N1725" s="84"/>
    </row>
    <row r="1726" spans="14:14" x14ac:dyDescent="0.25">
      <c r="N1726" s="84"/>
    </row>
    <row r="1727" spans="14:14" x14ac:dyDescent="0.25">
      <c r="N1727" s="84"/>
    </row>
    <row r="1728" spans="14:14" x14ac:dyDescent="0.25">
      <c r="N1728" s="84"/>
    </row>
    <row r="1729" spans="14:14" x14ac:dyDescent="0.25">
      <c r="N1729" s="84"/>
    </row>
    <row r="1730" spans="14:14" x14ac:dyDescent="0.25">
      <c r="N1730" s="84"/>
    </row>
    <row r="1731" spans="14:14" x14ac:dyDescent="0.25">
      <c r="N1731" s="84"/>
    </row>
    <row r="1732" spans="14:14" x14ac:dyDescent="0.25">
      <c r="N1732" s="84"/>
    </row>
    <row r="1733" spans="14:14" x14ac:dyDescent="0.25">
      <c r="N1733" s="84"/>
    </row>
    <row r="1734" spans="14:14" x14ac:dyDescent="0.25">
      <c r="N1734" s="84"/>
    </row>
    <row r="1735" spans="14:14" x14ac:dyDescent="0.25">
      <c r="N1735" s="84"/>
    </row>
    <row r="1736" spans="14:14" x14ac:dyDescent="0.25">
      <c r="N1736" s="84"/>
    </row>
    <row r="1737" spans="14:14" x14ac:dyDescent="0.25">
      <c r="N1737" s="84"/>
    </row>
    <row r="1738" spans="14:14" x14ac:dyDescent="0.25">
      <c r="N1738" s="84"/>
    </row>
    <row r="1739" spans="14:14" x14ac:dyDescent="0.25">
      <c r="N1739" s="84"/>
    </row>
    <row r="1740" spans="14:14" x14ac:dyDescent="0.25">
      <c r="N1740" s="84"/>
    </row>
    <row r="1741" spans="14:14" x14ac:dyDescent="0.25">
      <c r="N1741" s="84"/>
    </row>
    <row r="1742" spans="14:14" x14ac:dyDescent="0.25">
      <c r="N1742" s="84"/>
    </row>
    <row r="1743" spans="14:14" x14ac:dyDescent="0.25">
      <c r="N1743" s="84"/>
    </row>
    <row r="1744" spans="14:14" x14ac:dyDescent="0.25">
      <c r="N1744" s="84"/>
    </row>
    <row r="1745" spans="14:14" x14ac:dyDescent="0.25">
      <c r="N1745" s="84"/>
    </row>
    <row r="1746" spans="14:14" x14ac:dyDescent="0.25">
      <c r="N1746" s="84"/>
    </row>
    <row r="1747" spans="14:14" x14ac:dyDescent="0.25">
      <c r="N1747" s="84"/>
    </row>
    <row r="1748" spans="14:14" x14ac:dyDescent="0.25">
      <c r="N1748" s="84"/>
    </row>
    <row r="1749" spans="14:14" x14ac:dyDescent="0.25">
      <c r="N1749" s="84"/>
    </row>
    <row r="1750" spans="14:14" x14ac:dyDescent="0.25">
      <c r="N1750" s="84"/>
    </row>
    <row r="1751" spans="14:14" x14ac:dyDescent="0.25">
      <c r="N1751" s="84"/>
    </row>
    <row r="1752" spans="14:14" x14ac:dyDescent="0.25">
      <c r="N1752" s="84"/>
    </row>
    <row r="1753" spans="14:14" x14ac:dyDescent="0.25">
      <c r="N1753" s="84"/>
    </row>
    <row r="1754" spans="14:14" x14ac:dyDescent="0.25">
      <c r="N1754" s="84"/>
    </row>
    <row r="1755" spans="14:14" x14ac:dyDescent="0.25">
      <c r="N1755" s="84"/>
    </row>
    <row r="1756" spans="14:14" x14ac:dyDescent="0.25">
      <c r="N1756" s="84"/>
    </row>
    <row r="1757" spans="14:14" x14ac:dyDescent="0.25">
      <c r="N1757" s="84"/>
    </row>
    <row r="1758" spans="14:14" x14ac:dyDescent="0.25">
      <c r="N1758" s="84"/>
    </row>
    <row r="1759" spans="14:14" x14ac:dyDescent="0.25">
      <c r="N1759" s="84"/>
    </row>
    <row r="1760" spans="14:14" x14ac:dyDescent="0.25">
      <c r="N1760" s="84"/>
    </row>
    <row r="1761" spans="14:14" x14ac:dyDescent="0.25">
      <c r="N1761" s="84"/>
    </row>
    <row r="1762" spans="14:14" x14ac:dyDescent="0.25">
      <c r="N1762" s="84"/>
    </row>
    <row r="1763" spans="14:14" x14ac:dyDescent="0.25">
      <c r="N1763" s="84"/>
    </row>
    <row r="1764" spans="14:14" x14ac:dyDescent="0.25">
      <c r="N1764" s="84"/>
    </row>
    <row r="1765" spans="14:14" x14ac:dyDescent="0.25">
      <c r="N1765" s="84"/>
    </row>
    <row r="1766" spans="14:14" x14ac:dyDescent="0.25">
      <c r="N1766" s="84"/>
    </row>
    <row r="1767" spans="14:14" x14ac:dyDescent="0.25">
      <c r="N1767" s="84"/>
    </row>
    <row r="1768" spans="14:14" x14ac:dyDescent="0.25">
      <c r="N1768" s="84"/>
    </row>
    <row r="1769" spans="14:14" x14ac:dyDescent="0.25">
      <c r="N1769" s="84"/>
    </row>
    <row r="1770" spans="14:14" x14ac:dyDescent="0.25">
      <c r="N1770" s="84"/>
    </row>
    <row r="1771" spans="14:14" x14ac:dyDescent="0.25">
      <c r="N1771" s="84"/>
    </row>
    <row r="1772" spans="14:14" x14ac:dyDescent="0.25">
      <c r="N1772" s="84"/>
    </row>
    <row r="1773" spans="14:14" x14ac:dyDescent="0.25">
      <c r="N1773" s="84"/>
    </row>
    <row r="1774" spans="14:14" x14ac:dyDescent="0.25">
      <c r="N1774" s="84"/>
    </row>
    <row r="1775" spans="14:14" x14ac:dyDescent="0.25">
      <c r="N1775" s="84"/>
    </row>
    <row r="1776" spans="14:14" x14ac:dyDescent="0.25">
      <c r="N1776" s="84"/>
    </row>
    <row r="1777" spans="14:14" x14ac:dyDescent="0.25">
      <c r="N1777" s="84"/>
    </row>
    <row r="1778" spans="14:14" x14ac:dyDescent="0.25">
      <c r="N1778" s="84"/>
    </row>
    <row r="1779" spans="14:14" x14ac:dyDescent="0.25">
      <c r="N1779" s="84"/>
    </row>
    <row r="1780" spans="14:14" x14ac:dyDescent="0.25">
      <c r="N1780" s="84"/>
    </row>
    <row r="1781" spans="14:14" x14ac:dyDescent="0.25">
      <c r="N1781" s="84"/>
    </row>
    <row r="1782" spans="14:14" x14ac:dyDescent="0.25">
      <c r="N1782" s="84"/>
    </row>
    <row r="1783" spans="14:14" x14ac:dyDescent="0.25">
      <c r="N1783" s="84"/>
    </row>
    <row r="1784" spans="14:14" x14ac:dyDescent="0.25">
      <c r="N1784" s="84"/>
    </row>
    <row r="1785" spans="14:14" x14ac:dyDescent="0.25">
      <c r="N1785" s="84"/>
    </row>
    <row r="1786" spans="14:14" x14ac:dyDescent="0.25">
      <c r="N1786" s="84"/>
    </row>
    <row r="1787" spans="14:14" x14ac:dyDescent="0.25">
      <c r="N1787" s="84"/>
    </row>
    <row r="1788" spans="14:14" x14ac:dyDescent="0.25">
      <c r="N1788" s="84"/>
    </row>
    <row r="1789" spans="14:14" x14ac:dyDescent="0.25">
      <c r="N1789" s="84"/>
    </row>
    <row r="1790" spans="14:14" x14ac:dyDescent="0.25">
      <c r="N1790" s="84"/>
    </row>
    <row r="1791" spans="14:14" x14ac:dyDescent="0.25">
      <c r="N1791" s="84"/>
    </row>
    <row r="1792" spans="14:14" x14ac:dyDescent="0.25">
      <c r="N1792" s="84"/>
    </row>
    <row r="1793" spans="14:14" x14ac:dyDescent="0.25">
      <c r="N1793" s="84"/>
    </row>
    <row r="1794" spans="14:14" x14ac:dyDescent="0.25">
      <c r="N1794" s="84"/>
    </row>
    <row r="1795" spans="14:14" x14ac:dyDescent="0.25">
      <c r="N1795" s="84"/>
    </row>
    <row r="1796" spans="14:14" x14ac:dyDescent="0.25">
      <c r="N1796" s="84"/>
    </row>
    <row r="1797" spans="14:14" x14ac:dyDescent="0.25">
      <c r="N1797" s="84"/>
    </row>
    <row r="1798" spans="14:14" x14ac:dyDescent="0.25">
      <c r="N1798" s="84"/>
    </row>
    <row r="1799" spans="14:14" x14ac:dyDescent="0.25">
      <c r="N1799" s="84"/>
    </row>
    <row r="1800" spans="14:14" x14ac:dyDescent="0.25">
      <c r="N1800" s="84"/>
    </row>
    <row r="1801" spans="14:14" x14ac:dyDescent="0.25">
      <c r="N1801" s="84"/>
    </row>
    <row r="1802" spans="14:14" x14ac:dyDescent="0.25">
      <c r="N1802" s="84"/>
    </row>
    <row r="1803" spans="14:14" x14ac:dyDescent="0.25">
      <c r="N1803" s="84"/>
    </row>
    <row r="1804" spans="14:14" x14ac:dyDescent="0.25">
      <c r="N1804" s="84"/>
    </row>
    <row r="1805" spans="14:14" x14ac:dyDescent="0.25">
      <c r="N1805" s="84"/>
    </row>
    <row r="1806" spans="14:14" x14ac:dyDescent="0.25">
      <c r="N1806" s="84"/>
    </row>
    <row r="1807" spans="14:14" x14ac:dyDescent="0.25">
      <c r="N1807" s="84"/>
    </row>
    <row r="1808" spans="14:14" x14ac:dyDescent="0.25">
      <c r="N1808" s="84"/>
    </row>
    <row r="1809" spans="14:14" x14ac:dyDescent="0.25">
      <c r="N1809" s="84"/>
    </row>
    <row r="1810" spans="14:14" x14ac:dyDescent="0.25">
      <c r="N1810" s="84"/>
    </row>
    <row r="1811" spans="14:14" x14ac:dyDescent="0.25">
      <c r="N1811" s="84"/>
    </row>
    <row r="1812" spans="14:14" x14ac:dyDescent="0.25">
      <c r="N1812" s="84"/>
    </row>
    <row r="1813" spans="14:14" x14ac:dyDescent="0.25">
      <c r="N1813" s="84"/>
    </row>
    <row r="1814" spans="14:14" x14ac:dyDescent="0.25">
      <c r="N1814" s="84"/>
    </row>
    <row r="1815" spans="14:14" x14ac:dyDescent="0.25">
      <c r="N1815" s="84"/>
    </row>
    <row r="1816" spans="14:14" x14ac:dyDescent="0.25">
      <c r="N1816" s="84"/>
    </row>
    <row r="1817" spans="14:14" x14ac:dyDescent="0.25">
      <c r="N1817" s="84"/>
    </row>
    <row r="1818" spans="14:14" x14ac:dyDescent="0.25">
      <c r="N1818" s="84"/>
    </row>
    <row r="1819" spans="14:14" x14ac:dyDescent="0.25">
      <c r="N1819" s="84"/>
    </row>
    <row r="1820" spans="14:14" x14ac:dyDescent="0.25">
      <c r="N1820" s="84"/>
    </row>
    <row r="1821" spans="14:14" x14ac:dyDescent="0.25">
      <c r="N1821" s="84"/>
    </row>
    <row r="1822" spans="14:14" x14ac:dyDescent="0.25">
      <c r="N1822" s="84"/>
    </row>
    <row r="1823" spans="14:14" x14ac:dyDescent="0.25">
      <c r="N1823" s="84"/>
    </row>
    <row r="1824" spans="14:14" x14ac:dyDescent="0.25">
      <c r="N1824" s="84"/>
    </row>
    <row r="1825" spans="14:14" x14ac:dyDescent="0.25">
      <c r="N1825" s="84"/>
    </row>
    <row r="1826" spans="14:14" x14ac:dyDescent="0.25">
      <c r="N1826" s="84"/>
    </row>
    <row r="1827" spans="14:14" x14ac:dyDescent="0.25">
      <c r="N1827" s="84"/>
    </row>
    <row r="1828" spans="14:14" x14ac:dyDescent="0.25">
      <c r="N1828" s="84"/>
    </row>
    <row r="1829" spans="14:14" x14ac:dyDescent="0.25">
      <c r="N1829" s="84"/>
    </row>
    <row r="1830" spans="14:14" x14ac:dyDescent="0.25">
      <c r="N1830" s="84"/>
    </row>
    <row r="1831" spans="14:14" x14ac:dyDescent="0.25">
      <c r="N1831" s="84"/>
    </row>
    <row r="1832" spans="14:14" x14ac:dyDescent="0.25">
      <c r="N1832" s="84"/>
    </row>
    <row r="1833" spans="14:14" x14ac:dyDescent="0.25">
      <c r="N1833" s="84"/>
    </row>
    <row r="1834" spans="14:14" x14ac:dyDescent="0.25">
      <c r="N1834" s="84"/>
    </row>
    <row r="1835" spans="14:14" x14ac:dyDescent="0.25">
      <c r="N1835" s="84"/>
    </row>
    <row r="1836" spans="14:14" x14ac:dyDescent="0.25">
      <c r="N1836" s="84"/>
    </row>
    <row r="1837" spans="14:14" x14ac:dyDescent="0.25">
      <c r="N1837" s="84"/>
    </row>
    <row r="1838" spans="14:14" x14ac:dyDescent="0.25">
      <c r="N1838" s="84"/>
    </row>
    <row r="1839" spans="14:14" x14ac:dyDescent="0.25">
      <c r="N1839" s="84"/>
    </row>
    <row r="1840" spans="14:14" x14ac:dyDescent="0.25">
      <c r="N1840" s="84"/>
    </row>
    <row r="1841" spans="14:14" x14ac:dyDescent="0.25">
      <c r="N1841" s="84"/>
    </row>
    <row r="1842" spans="14:14" x14ac:dyDescent="0.25">
      <c r="N1842" s="84"/>
    </row>
    <row r="1843" spans="14:14" x14ac:dyDescent="0.25">
      <c r="N1843" s="84"/>
    </row>
    <row r="1844" spans="14:14" x14ac:dyDescent="0.25">
      <c r="N1844" s="84"/>
    </row>
    <row r="1845" spans="14:14" x14ac:dyDescent="0.25">
      <c r="N1845" s="84"/>
    </row>
    <row r="1846" spans="14:14" x14ac:dyDescent="0.25">
      <c r="N1846" s="84"/>
    </row>
    <row r="1847" spans="14:14" x14ac:dyDescent="0.25">
      <c r="N1847" s="84"/>
    </row>
    <row r="1848" spans="14:14" x14ac:dyDescent="0.25">
      <c r="N1848" s="84"/>
    </row>
    <row r="1849" spans="14:14" x14ac:dyDescent="0.25">
      <c r="N1849" s="84"/>
    </row>
    <row r="1850" spans="14:14" x14ac:dyDescent="0.25">
      <c r="N1850" s="84"/>
    </row>
    <row r="1851" spans="14:14" x14ac:dyDescent="0.25">
      <c r="N1851" s="84"/>
    </row>
    <row r="1852" spans="14:14" x14ac:dyDescent="0.25">
      <c r="N1852" s="84"/>
    </row>
    <row r="1853" spans="14:14" x14ac:dyDescent="0.25">
      <c r="N1853" s="84"/>
    </row>
    <row r="1854" spans="14:14" x14ac:dyDescent="0.25">
      <c r="N1854" s="84"/>
    </row>
    <row r="1855" spans="14:14" x14ac:dyDescent="0.25">
      <c r="N1855" s="84"/>
    </row>
    <row r="1856" spans="14:14" x14ac:dyDescent="0.25">
      <c r="N1856" s="84"/>
    </row>
    <row r="1857" spans="14:14" x14ac:dyDescent="0.25">
      <c r="N1857" s="84"/>
    </row>
    <row r="1858" spans="14:14" x14ac:dyDescent="0.25">
      <c r="N1858" s="84"/>
    </row>
    <row r="1859" spans="14:14" x14ac:dyDescent="0.25">
      <c r="N1859" s="84"/>
    </row>
    <row r="1860" spans="14:14" x14ac:dyDescent="0.25">
      <c r="N1860" s="84"/>
    </row>
    <row r="1861" spans="14:14" x14ac:dyDescent="0.25">
      <c r="N1861" s="84"/>
    </row>
    <row r="1862" spans="14:14" x14ac:dyDescent="0.25">
      <c r="N1862" s="84"/>
    </row>
    <row r="1863" spans="14:14" x14ac:dyDescent="0.25">
      <c r="N1863" s="84"/>
    </row>
    <row r="1864" spans="14:14" x14ac:dyDescent="0.25">
      <c r="N1864" s="84"/>
    </row>
    <row r="1865" spans="14:14" x14ac:dyDescent="0.25">
      <c r="N1865" s="84"/>
    </row>
    <row r="1866" spans="14:14" x14ac:dyDescent="0.25">
      <c r="N1866" s="84"/>
    </row>
    <row r="1867" spans="14:14" x14ac:dyDescent="0.25">
      <c r="N1867" s="84"/>
    </row>
    <row r="1868" spans="14:14" x14ac:dyDescent="0.25">
      <c r="N1868" s="84"/>
    </row>
    <row r="1869" spans="14:14" x14ac:dyDescent="0.25">
      <c r="N1869" s="84"/>
    </row>
    <row r="1870" spans="14:14" x14ac:dyDescent="0.25">
      <c r="N1870" s="84"/>
    </row>
    <row r="1871" spans="14:14" x14ac:dyDescent="0.25">
      <c r="N1871" s="84"/>
    </row>
    <row r="1872" spans="14:14" x14ac:dyDescent="0.25">
      <c r="N1872" s="84"/>
    </row>
    <row r="1873" spans="14:14" x14ac:dyDescent="0.25">
      <c r="N1873" s="84"/>
    </row>
    <row r="1874" spans="14:14" x14ac:dyDescent="0.25">
      <c r="N1874" s="84"/>
    </row>
    <row r="1875" spans="14:14" x14ac:dyDescent="0.25">
      <c r="N1875" s="84"/>
    </row>
    <row r="1876" spans="14:14" x14ac:dyDescent="0.25">
      <c r="N1876" s="84"/>
    </row>
    <row r="1877" spans="14:14" x14ac:dyDescent="0.25">
      <c r="N1877" s="84"/>
    </row>
    <row r="1878" spans="14:14" x14ac:dyDescent="0.25">
      <c r="N1878" s="84"/>
    </row>
    <row r="1879" spans="14:14" x14ac:dyDescent="0.25">
      <c r="N1879" s="84"/>
    </row>
    <row r="1880" spans="14:14" x14ac:dyDescent="0.25">
      <c r="N1880" s="84"/>
    </row>
    <row r="1881" spans="14:14" x14ac:dyDescent="0.25">
      <c r="N1881" s="84"/>
    </row>
    <row r="1882" spans="14:14" x14ac:dyDescent="0.25">
      <c r="N1882" s="84"/>
    </row>
    <row r="1883" spans="14:14" x14ac:dyDescent="0.25">
      <c r="N1883" s="84"/>
    </row>
    <row r="1884" spans="14:14" x14ac:dyDescent="0.25">
      <c r="N1884" s="84"/>
    </row>
    <row r="1885" spans="14:14" x14ac:dyDescent="0.25">
      <c r="N1885" s="84"/>
    </row>
    <row r="1886" spans="14:14" x14ac:dyDescent="0.25">
      <c r="N1886" s="84"/>
    </row>
    <row r="1887" spans="14:14" x14ac:dyDescent="0.25">
      <c r="N1887" s="84"/>
    </row>
    <row r="1888" spans="14:14" x14ac:dyDescent="0.25">
      <c r="N1888" s="84"/>
    </row>
    <row r="1889" spans="14:14" x14ac:dyDescent="0.25">
      <c r="N1889" s="84"/>
    </row>
    <row r="1890" spans="14:14" x14ac:dyDescent="0.25">
      <c r="N1890" s="84"/>
    </row>
    <row r="1891" spans="14:14" x14ac:dyDescent="0.25">
      <c r="N1891" s="84"/>
    </row>
    <row r="1892" spans="14:14" x14ac:dyDescent="0.25">
      <c r="N1892" s="84"/>
    </row>
    <row r="1893" spans="14:14" x14ac:dyDescent="0.25">
      <c r="N1893" s="84"/>
    </row>
    <row r="1894" spans="14:14" x14ac:dyDescent="0.25">
      <c r="N1894" s="84"/>
    </row>
    <row r="1895" spans="14:14" x14ac:dyDescent="0.25">
      <c r="N1895" s="84"/>
    </row>
    <row r="1896" spans="14:14" x14ac:dyDescent="0.25">
      <c r="N1896" s="84"/>
    </row>
    <row r="1897" spans="14:14" x14ac:dyDescent="0.25">
      <c r="N1897" s="84"/>
    </row>
    <row r="1898" spans="14:14" x14ac:dyDescent="0.25">
      <c r="N1898" s="84"/>
    </row>
    <row r="1899" spans="14:14" x14ac:dyDescent="0.25">
      <c r="N1899" s="84"/>
    </row>
    <row r="1900" spans="14:14" x14ac:dyDescent="0.25">
      <c r="N1900" s="84"/>
    </row>
    <row r="1901" spans="14:14" x14ac:dyDescent="0.25">
      <c r="N1901" s="84"/>
    </row>
    <row r="1902" spans="14:14" x14ac:dyDescent="0.25">
      <c r="N1902" s="84"/>
    </row>
    <row r="1903" spans="14:14" x14ac:dyDescent="0.25">
      <c r="N1903" s="84"/>
    </row>
    <row r="1904" spans="14:14" x14ac:dyDescent="0.25">
      <c r="N1904" s="84"/>
    </row>
    <row r="1905" spans="14:14" x14ac:dyDescent="0.25">
      <c r="N1905" s="84"/>
    </row>
    <row r="1906" spans="14:14" x14ac:dyDescent="0.25">
      <c r="N1906" s="84"/>
    </row>
    <row r="1907" spans="14:14" x14ac:dyDescent="0.25">
      <c r="N1907" s="84"/>
    </row>
    <row r="1908" spans="14:14" x14ac:dyDescent="0.25">
      <c r="N1908" s="84"/>
    </row>
    <row r="1909" spans="14:14" x14ac:dyDescent="0.25">
      <c r="N1909" s="84"/>
    </row>
    <row r="1910" spans="14:14" x14ac:dyDescent="0.25">
      <c r="N1910" s="84"/>
    </row>
    <row r="1911" spans="14:14" x14ac:dyDescent="0.25">
      <c r="N1911" s="84"/>
    </row>
    <row r="1912" spans="14:14" x14ac:dyDescent="0.25">
      <c r="N1912" s="84"/>
    </row>
    <row r="1913" spans="14:14" x14ac:dyDescent="0.25">
      <c r="N1913" s="84"/>
    </row>
    <row r="1914" spans="14:14" x14ac:dyDescent="0.25">
      <c r="N1914" s="84"/>
    </row>
    <row r="1915" spans="14:14" x14ac:dyDescent="0.25">
      <c r="N1915" s="84"/>
    </row>
    <row r="1916" spans="14:14" x14ac:dyDescent="0.25">
      <c r="N1916" s="84"/>
    </row>
    <row r="1917" spans="14:14" x14ac:dyDescent="0.25">
      <c r="N1917" s="84"/>
    </row>
    <row r="1918" spans="14:14" x14ac:dyDescent="0.25">
      <c r="N1918" s="84"/>
    </row>
    <row r="1919" spans="14:14" x14ac:dyDescent="0.25">
      <c r="N1919" s="84"/>
    </row>
    <row r="1920" spans="14:14" x14ac:dyDescent="0.25">
      <c r="N1920" s="84"/>
    </row>
    <row r="1921" spans="14:14" x14ac:dyDescent="0.25">
      <c r="N1921" s="84"/>
    </row>
    <row r="1922" spans="14:14" x14ac:dyDescent="0.25">
      <c r="N1922" s="84"/>
    </row>
    <row r="1923" spans="14:14" x14ac:dyDescent="0.25">
      <c r="N1923" s="84"/>
    </row>
    <row r="1924" spans="14:14" x14ac:dyDescent="0.25">
      <c r="N1924" s="84"/>
    </row>
    <row r="1925" spans="14:14" x14ac:dyDescent="0.25">
      <c r="N1925" s="84"/>
    </row>
    <row r="1926" spans="14:14" x14ac:dyDescent="0.25">
      <c r="N1926" s="84"/>
    </row>
    <row r="1927" spans="14:14" x14ac:dyDescent="0.25">
      <c r="N1927" s="84"/>
    </row>
    <row r="1928" spans="14:14" x14ac:dyDescent="0.25">
      <c r="N1928" s="84"/>
    </row>
    <row r="1929" spans="14:14" x14ac:dyDescent="0.25">
      <c r="N1929" s="84"/>
    </row>
    <row r="1930" spans="14:14" x14ac:dyDescent="0.25">
      <c r="N1930" s="84"/>
    </row>
    <row r="1931" spans="14:14" x14ac:dyDescent="0.25">
      <c r="N1931" s="84"/>
    </row>
    <row r="1932" spans="14:14" x14ac:dyDescent="0.25">
      <c r="N1932" s="84"/>
    </row>
    <row r="1933" spans="14:14" x14ac:dyDescent="0.25">
      <c r="N1933" s="84"/>
    </row>
    <row r="1934" spans="14:14" x14ac:dyDescent="0.25">
      <c r="N1934" s="84"/>
    </row>
    <row r="1935" spans="14:14" x14ac:dyDescent="0.25">
      <c r="N1935" s="84"/>
    </row>
    <row r="1936" spans="14:14" x14ac:dyDescent="0.25">
      <c r="N1936" s="84"/>
    </row>
    <row r="1937" spans="14:14" x14ac:dyDescent="0.25">
      <c r="N1937" s="84"/>
    </row>
    <row r="1938" spans="14:14" x14ac:dyDescent="0.25">
      <c r="N1938" s="84"/>
    </row>
    <row r="1939" spans="14:14" x14ac:dyDescent="0.25">
      <c r="N1939" s="84"/>
    </row>
    <row r="1940" spans="14:14" x14ac:dyDescent="0.25">
      <c r="N1940" s="84"/>
    </row>
    <row r="1941" spans="14:14" x14ac:dyDescent="0.25">
      <c r="N1941" s="84"/>
    </row>
    <row r="1942" spans="14:14" x14ac:dyDescent="0.25">
      <c r="N1942" s="84"/>
    </row>
    <row r="1943" spans="14:14" x14ac:dyDescent="0.25">
      <c r="N1943" s="84"/>
    </row>
    <row r="1944" spans="14:14" x14ac:dyDescent="0.25">
      <c r="N1944" s="84"/>
    </row>
    <row r="1945" spans="14:14" x14ac:dyDescent="0.25">
      <c r="N1945" s="84"/>
    </row>
    <row r="1946" spans="14:14" x14ac:dyDescent="0.25">
      <c r="N1946" s="84"/>
    </row>
    <row r="1947" spans="14:14" x14ac:dyDescent="0.25">
      <c r="N1947" s="84"/>
    </row>
    <row r="1948" spans="14:14" x14ac:dyDescent="0.25">
      <c r="N1948" s="84"/>
    </row>
    <row r="1949" spans="14:14" x14ac:dyDescent="0.25">
      <c r="N1949" s="84"/>
    </row>
    <row r="1950" spans="14:14" x14ac:dyDescent="0.25">
      <c r="N1950" s="84"/>
    </row>
    <row r="1951" spans="14:14" x14ac:dyDescent="0.25">
      <c r="N1951" s="84"/>
    </row>
    <row r="1952" spans="14:14" x14ac:dyDescent="0.25">
      <c r="N1952" s="84"/>
    </row>
    <row r="1953" spans="14:14" x14ac:dyDescent="0.25">
      <c r="N1953" s="84"/>
    </row>
    <row r="1954" spans="14:14" x14ac:dyDescent="0.25">
      <c r="N1954" s="84"/>
    </row>
    <row r="1955" spans="14:14" x14ac:dyDescent="0.25">
      <c r="N1955" s="84"/>
    </row>
    <row r="1956" spans="14:14" x14ac:dyDescent="0.25">
      <c r="N1956" s="84"/>
    </row>
    <row r="1957" spans="14:14" x14ac:dyDescent="0.25">
      <c r="N1957" s="84"/>
    </row>
    <row r="1958" spans="14:14" x14ac:dyDescent="0.25">
      <c r="N1958" s="84"/>
    </row>
    <row r="1959" spans="14:14" x14ac:dyDescent="0.25">
      <c r="N1959" s="84"/>
    </row>
    <row r="1960" spans="14:14" x14ac:dyDescent="0.25">
      <c r="N1960" s="84"/>
    </row>
    <row r="1961" spans="14:14" x14ac:dyDescent="0.25">
      <c r="N1961" s="84"/>
    </row>
    <row r="1962" spans="14:14" x14ac:dyDescent="0.25">
      <c r="N1962" s="84"/>
    </row>
    <row r="1963" spans="14:14" x14ac:dyDescent="0.25">
      <c r="N1963" s="84"/>
    </row>
    <row r="1964" spans="14:14" x14ac:dyDescent="0.25">
      <c r="N1964" s="84"/>
    </row>
    <row r="1965" spans="14:14" x14ac:dyDescent="0.25">
      <c r="N1965" s="84"/>
    </row>
    <row r="1966" spans="14:14" x14ac:dyDescent="0.25">
      <c r="N1966" s="84"/>
    </row>
    <row r="1967" spans="14:14" x14ac:dyDescent="0.25">
      <c r="N1967" s="84"/>
    </row>
    <row r="1968" spans="14:14" x14ac:dyDescent="0.25">
      <c r="N1968" s="84"/>
    </row>
    <row r="1969" spans="14:14" x14ac:dyDescent="0.25">
      <c r="N1969" s="84"/>
    </row>
    <row r="1970" spans="14:14" x14ac:dyDescent="0.25">
      <c r="N1970" s="84"/>
    </row>
    <row r="1971" spans="14:14" x14ac:dyDescent="0.25">
      <c r="N1971" s="84"/>
    </row>
    <row r="1972" spans="14:14" x14ac:dyDescent="0.25">
      <c r="N1972" s="84"/>
    </row>
    <row r="1973" spans="14:14" x14ac:dyDescent="0.25">
      <c r="N1973" s="84"/>
    </row>
    <row r="1974" spans="14:14" x14ac:dyDescent="0.25">
      <c r="N1974" s="84"/>
    </row>
    <row r="1975" spans="14:14" x14ac:dyDescent="0.25">
      <c r="N1975" s="84"/>
    </row>
    <row r="1976" spans="14:14" x14ac:dyDescent="0.25">
      <c r="N1976" s="84"/>
    </row>
    <row r="1977" spans="14:14" x14ac:dyDescent="0.25">
      <c r="N1977" s="84"/>
    </row>
    <row r="1978" spans="14:14" x14ac:dyDescent="0.25">
      <c r="N1978" s="84"/>
    </row>
    <row r="1979" spans="14:14" x14ac:dyDescent="0.25">
      <c r="N1979" s="84"/>
    </row>
    <row r="1980" spans="14:14" x14ac:dyDescent="0.25">
      <c r="N1980" s="84"/>
    </row>
    <row r="1981" spans="14:14" x14ac:dyDescent="0.25">
      <c r="N1981" s="84"/>
    </row>
    <row r="1982" spans="14:14" x14ac:dyDescent="0.25">
      <c r="N1982" s="84"/>
    </row>
    <row r="1983" spans="14:14" x14ac:dyDescent="0.25">
      <c r="N1983" s="84"/>
    </row>
    <row r="1984" spans="14:14" x14ac:dyDescent="0.25">
      <c r="N1984" s="84"/>
    </row>
    <row r="1985" spans="14:14" x14ac:dyDescent="0.25">
      <c r="N1985" s="84"/>
    </row>
    <row r="1986" spans="14:14" x14ac:dyDescent="0.25">
      <c r="N1986" s="84"/>
    </row>
    <row r="1987" spans="14:14" x14ac:dyDescent="0.25">
      <c r="N1987" s="84"/>
    </row>
    <row r="1988" spans="14:14" x14ac:dyDescent="0.25">
      <c r="N1988" s="84"/>
    </row>
    <row r="1989" spans="14:14" x14ac:dyDescent="0.25">
      <c r="N1989" s="84"/>
    </row>
    <row r="1990" spans="14:14" x14ac:dyDescent="0.25">
      <c r="N1990" s="84"/>
    </row>
    <row r="1991" spans="14:14" x14ac:dyDescent="0.25">
      <c r="N1991" s="84"/>
    </row>
    <row r="1992" spans="14:14" x14ac:dyDescent="0.25">
      <c r="N1992" s="84"/>
    </row>
    <row r="1993" spans="14:14" x14ac:dyDescent="0.25">
      <c r="N1993" s="84"/>
    </row>
    <row r="1994" spans="14:14" x14ac:dyDescent="0.25">
      <c r="N1994" s="84"/>
    </row>
    <row r="1995" spans="14:14" x14ac:dyDescent="0.25">
      <c r="N1995" s="84"/>
    </row>
    <row r="1996" spans="14:14" x14ac:dyDescent="0.25">
      <c r="N1996" s="84"/>
    </row>
    <row r="1997" spans="14:14" x14ac:dyDescent="0.25">
      <c r="N1997" s="84"/>
    </row>
    <row r="1998" spans="14:14" x14ac:dyDescent="0.25">
      <c r="N1998" s="84"/>
    </row>
    <row r="1999" spans="14:14" x14ac:dyDescent="0.25">
      <c r="N1999" s="84"/>
    </row>
    <row r="2000" spans="14:14" x14ac:dyDescent="0.25">
      <c r="N2000" s="84"/>
    </row>
    <row r="2001" spans="14:14" x14ac:dyDescent="0.25">
      <c r="N2001" s="84"/>
    </row>
    <row r="2002" spans="14:14" x14ac:dyDescent="0.25">
      <c r="N2002" s="84"/>
    </row>
    <row r="2003" spans="14:14" x14ac:dyDescent="0.25">
      <c r="N2003" s="84"/>
    </row>
    <row r="2004" spans="14:14" x14ac:dyDescent="0.25">
      <c r="N2004" s="84"/>
    </row>
    <row r="2005" spans="14:14" x14ac:dyDescent="0.25">
      <c r="N2005" s="84"/>
    </row>
    <row r="2006" spans="14:14" x14ac:dyDescent="0.25">
      <c r="N2006" s="84"/>
    </row>
    <row r="2007" spans="14:14" x14ac:dyDescent="0.25">
      <c r="N2007" s="84"/>
    </row>
    <row r="2008" spans="14:14" x14ac:dyDescent="0.25">
      <c r="N2008" s="84"/>
    </row>
    <row r="2009" spans="14:14" x14ac:dyDescent="0.25">
      <c r="N2009" s="84"/>
    </row>
    <row r="2010" spans="14:14" x14ac:dyDescent="0.25">
      <c r="N2010" s="84"/>
    </row>
    <row r="2011" spans="14:14" x14ac:dyDescent="0.25">
      <c r="N2011" s="84"/>
    </row>
    <row r="2012" spans="14:14" x14ac:dyDescent="0.25">
      <c r="N2012" s="84"/>
    </row>
    <row r="2013" spans="14:14" x14ac:dyDescent="0.25">
      <c r="N2013" s="84"/>
    </row>
    <row r="2014" spans="14:14" x14ac:dyDescent="0.25">
      <c r="N2014" s="84"/>
    </row>
    <row r="2015" spans="14:14" x14ac:dyDescent="0.25">
      <c r="N2015" s="84"/>
    </row>
    <row r="2016" spans="14:14" x14ac:dyDescent="0.25">
      <c r="N2016" s="84"/>
    </row>
    <row r="2017" spans="14:14" x14ac:dyDescent="0.25">
      <c r="N2017" s="84"/>
    </row>
    <row r="2018" spans="14:14" x14ac:dyDescent="0.25">
      <c r="N2018" s="84"/>
    </row>
    <row r="2019" spans="14:14" x14ac:dyDescent="0.25">
      <c r="N2019" s="84"/>
    </row>
    <row r="2020" spans="14:14" x14ac:dyDescent="0.25">
      <c r="N2020" s="84"/>
    </row>
    <row r="2021" spans="14:14" x14ac:dyDescent="0.25">
      <c r="N2021" s="84"/>
    </row>
    <row r="2022" spans="14:14" x14ac:dyDescent="0.25">
      <c r="N2022" s="84"/>
    </row>
    <row r="2023" spans="14:14" x14ac:dyDescent="0.25">
      <c r="N2023" s="84"/>
    </row>
    <row r="2024" spans="14:14" x14ac:dyDescent="0.25">
      <c r="N2024" s="84"/>
    </row>
    <row r="2025" spans="14:14" x14ac:dyDescent="0.25">
      <c r="N2025" s="84"/>
    </row>
    <row r="2026" spans="14:14" x14ac:dyDescent="0.25">
      <c r="N2026" s="84"/>
    </row>
    <row r="2027" spans="14:14" x14ac:dyDescent="0.25">
      <c r="N2027" s="84"/>
    </row>
    <row r="2028" spans="14:14" x14ac:dyDescent="0.25">
      <c r="N2028" s="84"/>
    </row>
    <row r="2029" spans="14:14" x14ac:dyDescent="0.25">
      <c r="N2029" s="84"/>
    </row>
    <row r="2030" spans="14:14" x14ac:dyDescent="0.25">
      <c r="N2030" s="84"/>
    </row>
    <row r="2031" spans="14:14" x14ac:dyDescent="0.25">
      <c r="N2031" s="84"/>
    </row>
    <row r="2032" spans="14:14" x14ac:dyDescent="0.25">
      <c r="N2032" s="84"/>
    </row>
    <row r="2033" spans="14:14" x14ac:dyDescent="0.25">
      <c r="N2033" s="84"/>
    </row>
    <row r="2034" spans="14:14" x14ac:dyDescent="0.25">
      <c r="N2034" s="84"/>
    </row>
    <row r="2035" spans="14:14" x14ac:dyDescent="0.25">
      <c r="N2035" s="84"/>
    </row>
    <row r="2036" spans="14:14" x14ac:dyDescent="0.25">
      <c r="N2036" s="84"/>
    </row>
    <row r="2037" spans="14:14" x14ac:dyDescent="0.25">
      <c r="N2037" s="84"/>
    </row>
    <row r="2038" spans="14:14" x14ac:dyDescent="0.25">
      <c r="N2038" s="84"/>
    </row>
    <row r="2039" spans="14:14" x14ac:dyDescent="0.25">
      <c r="N2039" s="84"/>
    </row>
    <row r="2040" spans="14:14" x14ac:dyDescent="0.25">
      <c r="N2040" s="84"/>
    </row>
    <row r="2041" spans="14:14" x14ac:dyDescent="0.25">
      <c r="N2041" s="84"/>
    </row>
    <row r="2042" spans="14:14" x14ac:dyDescent="0.25">
      <c r="N2042" s="84"/>
    </row>
    <row r="2043" spans="14:14" x14ac:dyDescent="0.25">
      <c r="N2043" s="84"/>
    </row>
    <row r="2044" spans="14:14" x14ac:dyDescent="0.25">
      <c r="N2044" s="84"/>
    </row>
    <row r="2045" spans="14:14" x14ac:dyDescent="0.25">
      <c r="N2045" s="84"/>
    </row>
    <row r="2046" spans="14:14" x14ac:dyDescent="0.25">
      <c r="N2046" s="84"/>
    </row>
    <row r="2047" spans="14:14" x14ac:dyDescent="0.25">
      <c r="N2047" s="84"/>
    </row>
    <row r="2048" spans="14:14" x14ac:dyDescent="0.25">
      <c r="N2048" s="84"/>
    </row>
    <row r="2049" spans="14:14" x14ac:dyDescent="0.25">
      <c r="N2049" s="84"/>
    </row>
    <row r="2050" spans="14:14" x14ac:dyDescent="0.25">
      <c r="N2050" s="84"/>
    </row>
    <row r="2051" spans="14:14" x14ac:dyDescent="0.25">
      <c r="N2051" s="84"/>
    </row>
    <row r="2052" spans="14:14" x14ac:dyDescent="0.25">
      <c r="N2052" s="84"/>
    </row>
    <row r="2053" spans="14:14" x14ac:dyDescent="0.25">
      <c r="N2053" s="84"/>
    </row>
    <row r="2054" spans="14:14" x14ac:dyDescent="0.25">
      <c r="N2054" s="84"/>
    </row>
    <row r="2055" spans="14:14" x14ac:dyDescent="0.25">
      <c r="N2055" s="84"/>
    </row>
    <row r="2056" spans="14:14" x14ac:dyDescent="0.25">
      <c r="N2056" s="84"/>
    </row>
    <row r="2057" spans="14:14" x14ac:dyDescent="0.25">
      <c r="N2057" s="84"/>
    </row>
    <row r="2058" spans="14:14" x14ac:dyDescent="0.25">
      <c r="N2058" s="84"/>
    </row>
    <row r="2059" spans="14:14" x14ac:dyDescent="0.25">
      <c r="N2059" s="84"/>
    </row>
    <row r="2060" spans="14:14" x14ac:dyDescent="0.25">
      <c r="N2060" s="84"/>
    </row>
    <row r="2061" spans="14:14" x14ac:dyDescent="0.25">
      <c r="N2061" s="84"/>
    </row>
    <row r="2062" spans="14:14" x14ac:dyDescent="0.25">
      <c r="N2062" s="84"/>
    </row>
    <row r="2063" spans="14:14" x14ac:dyDescent="0.25">
      <c r="N2063" s="84"/>
    </row>
    <row r="2064" spans="14:14" x14ac:dyDescent="0.25">
      <c r="N2064" s="84"/>
    </row>
    <row r="2065" spans="14:14" x14ac:dyDescent="0.25">
      <c r="N2065" s="84"/>
    </row>
    <row r="2066" spans="14:14" x14ac:dyDescent="0.25">
      <c r="N2066" s="84"/>
    </row>
    <row r="2067" spans="14:14" x14ac:dyDescent="0.25">
      <c r="N2067" s="84"/>
    </row>
    <row r="2068" spans="14:14" x14ac:dyDescent="0.25">
      <c r="N2068" s="84"/>
    </row>
    <row r="2069" spans="14:14" x14ac:dyDescent="0.25">
      <c r="N2069" s="84"/>
    </row>
    <row r="2070" spans="14:14" x14ac:dyDescent="0.25">
      <c r="N2070" s="84"/>
    </row>
    <row r="2071" spans="14:14" x14ac:dyDescent="0.25">
      <c r="N2071" s="84"/>
    </row>
    <row r="2072" spans="14:14" x14ac:dyDescent="0.25">
      <c r="N2072" s="84"/>
    </row>
    <row r="2073" spans="14:14" x14ac:dyDescent="0.25">
      <c r="N2073" s="84"/>
    </row>
    <row r="2074" spans="14:14" x14ac:dyDescent="0.25">
      <c r="N2074" s="84"/>
    </row>
    <row r="2075" spans="14:14" x14ac:dyDescent="0.25">
      <c r="N2075" s="84"/>
    </row>
    <row r="2076" spans="14:14" x14ac:dyDescent="0.25">
      <c r="N2076" s="84"/>
    </row>
    <row r="2077" spans="14:14" x14ac:dyDescent="0.25">
      <c r="N2077" s="84"/>
    </row>
    <row r="2078" spans="14:14" x14ac:dyDescent="0.25">
      <c r="N2078" s="84"/>
    </row>
    <row r="2079" spans="14:14" x14ac:dyDescent="0.25">
      <c r="N2079" s="84"/>
    </row>
    <row r="2080" spans="14:14" x14ac:dyDescent="0.25">
      <c r="N2080" s="84"/>
    </row>
    <row r="2081" spans="14:14" x14ac:dyDescent="0.25">
      <c r="N2081" s="84"/>
    </row>
    <row r="2082" spans="14:14" x14ac:dyDescent="0.25">
      <c r="N2082" s="84"/>
    </row>
    <row r="2083" spans="14:14" x14ac:dyDescent="0.25">
      <c r="N2083" s="84"/>
    </row>
    <row r="2084" spans="14:14" x14ac:dyDescent="0.25">
      <c r="N2084" s="84"/>
    </row>
    <row r="2085" spans="14:14" x14ac:dyDescent="0.25">
      <c r="N2085" s="84"/>
    </row>
    <row r="2086" spans="14:14" x14ac:dyDescent="0.25">
      <c r="N2086" s="84"/>
    </row>
    <row r="2087" spans="14:14" x14ac:dyDescent="0.25">
      <c r="N2087" s="84"/>
    </row>
    <row r="2088" spans="14:14" x14ac:dyDescent="0.25">
      <c r="N2088" s="84"/>
    </row>
    <row r="2089" spans="14:14" x14ac:dyDescent="0.25">
      <c r="N2089" s="84"/>
    </row>
    <row r="2090" spans="14:14" x14ac:dyDescent="0.25">
      <c r="N2090" s="84"/>
    </row>
    <row r="2091" spans="14:14" x14ac:dyDescent="0.25">
      <c r="N2091" s="84"/>
    </row>
    <row r="2092" spans="14:14" x14ac:dyDescent="0.25">
      <c r="N2092" s="84"/>
    </row>
    <row r="2093" spans="14:14" x14ac:dyDescent="0.25">
      <c r="N2093" s="84"/>
    </row>
    <row r="2094" spans="14:14" x14ac:dyDescent="0.25">
      <c r="N2094" s="84"/>
    </row>
    <row r="2095" spans="14:14" x14ac:dyDescent="0.25">
      <c r="N2095" s="84"/>
    </row>
    <row r="2096" spans="14:14" x14ac:dyDescent="0.25">
      <c r="N2096" s="84"/>
    </row>
    <row r="2097" spans="14:14" x14ac:dyDescent="0.25">
      <c r="N2097" s="84"/>
    </row>
    <row r="2098" spans="14:14" x14ac:dyDescent="0.25">
      <c r="N2098" s="84"/>
    </row>
    <row r="2099" spans="14:14" x14ac:dyDescent="0.25">
      <c r="N2099" s="84"/>
    </row>
    <row r="2100" spans="14:14" x14ac:dyDescent="0.25">
      <c r="N2100" s="84"/>
    </row>
    <row r="2101" spans="14:14" x14ac:dyDescent="0.25">
      <c r="N2101" s="84"/>
    </row>
    <row r="2102" spans="14:14" x14ac:dyDescent="0.25">
      <c r="N2102" s="84"/>
    </row>
    <row r="2103" spans="14:14" x14ac:dyDescent="0.25">
      <c r="N2103" s="84"/>
    </row>
    <row r="2104" spans="14:14" x14ac:dyDescent="0.25">
      <c r="N2104" s="84"/>
    </row>
    <row r="2105" spans="14:14" x14ac:dyDescent="0.25">
      <c r="N2105" s="84"/>
    </row>
    <row r="2106" spans="14:14" x14ac:dyDescent="0.25">
      <c r="N2106" s="84"/>
    </row>
    <row r="2107" spans="14:14" x14ac:dyDescent="0.25">
      <c r="N2107" s="84"/>
    </row>
    <row r="2108" spans="14:14" x14ac:dyDescent="0.25">
      <c r="N2108" s="84"/>
    </row>
    <row r="2109" spans="14:14" x14ac:dyDescent="0.25">
      <c r="N2109" s="84"/>
    </row>
    <row r="2110" spans="14:14" x14ac:dyDescent="0.25">
      <c r="N2110" s="84"/>
    </row>
    <row r="2111" spans="14:14" x14ac:dyDescent="0.25">
      <c r="N2111" s="84"/>
    </row>
    <row r="2112" spans="14:14" x14ac:dyDescent="0.25">
      <c r="N2112" s="84"/>
    </row>
    <row r="2113" spans="14:14" x14ac:dyDescent="0.25">
      <c r="N2113" s="84"/>
    </row>
    <row r="2114" spans="14:14" x14ac:dyDescent="0.25">
      <c r="N2114" s="84"/>
    </row>
    <row r="2115" spans="14:14" x14ac:dyDescent="0.25">
      <c r="N2115" s="84"/>
    </row>
    <row r="2116" spans="14:14" x14ac:dyDescent="0.25">
      <c r="N2116" s="84"/>
    </row>
    <row r="2117" spans="14:14" x14ac:dyDescent="0.25">
      <c r="N2117" s="84"/>
    </row>
    <row r="2118" spans="14:14" x14ac:dyDescent="0.25">
      <c r="N2118" s="84"/>
    </row>
    <row r="2119" spans="14:14" x14ac:dyDescent="0.25">
      <c r="N2119" s="84"/>
    </row>
    <row r="2120" spans="14:14" x14ac:dyDescent="0.25">
      <c r="N2120" s="84"/>
    </row>
    <row r="2121" spans="14:14" x14ac:dyDescent="0.25">
      <c r="N2121" s="84"/>
    </row>
    <row r="2122" spans="14:14" x14ac:dyDescent="0.25">
      <c r="N2122" s="84"/>
    </row>
    <row r="2123" spans="14:14" x14ac:dyDescent="0.25">
      <c r="N2123" s="84"/>
    </row>
    <row r="2124" spans="14:14" x14ac:dyDescent="0.25">
      <c r="N2124" s="84"/>
    </row>
    <row r="2125" spans="14:14" x14ac:dyDescent="0.25">
      <c r="N2125" s="84"/>
    </row>
    <row r="2126" spans="14:14" x14ac:dyDescent="0.25">
      <c r="N2126" s="84"/>
    </row>
    <row r="2127" spans="14:14" x14ac:dyDescent="0.25">
      <c r="N2127" s="84"/>
    </row>
    <row r="2128" spans="14:14" x14ac:dyDescent="0.25">
      <c r="N2128" s="84"/>
    </row>
    <row r="2129" spans="14:14" x14ac:dyDescent="0.25">
      <c r="N2129" s="84"/>
    </row>
    <row r="2130" spans="14:14" x14ac:dyDescent="0.25">
      <c r="N2130" s="84"/>
    </row>
    <row r="2131" spans="14:14" x14ac:dyDescent="0.25">
      <c r="N2131" s="84"/>
    </row>
    <row r="2132" spans="14:14" x14ac:dyDescent="0.25">
      <c r="N2132" s="84"/>
    </row>
    <row r="2133" spans="14:14" x14ac:dyDescent="0.25">
      <c r="N2133" s="84"/>
    </row>
    <row r="2134" spans="14:14" x14ac:dyDescent="0.25">
      <c r="N2134" s="84"/>
    </row>
    <row r="2135" spans="14:14" x14ac:dyDescent="0.25">
      <c r="N2135" s="84"/>
    </row>
    <row r="2136" spans="14:14" x14ac:dyDescent="0.25">
      <c r="N2136" s="84"/>
    </row>
    <row r="2137" spans="14:14" x14ac:dyDescent="0.25">
      <c r="N2137" s="84"/>
    </row>
    <row r="2138" spans="14:14" x14ac:dyDescent="0.25">
      <c r="N2138" s="84"/>
    </row>
    <row r="2139" spans="14:14" x14ac:dyDescent="0.25">
      <c r="N2139" s="84"/>
    </row>
    <row r="2140" spans="14:14" x14ac:dyDescent="0.25">
      <c r="N2140" s="84"/>
    </row>
    <row r="2141" spans="14:14" x14ac:dyDescent="0.25">
      <c r="N2141" s="84"/>
    </row>
    <row r="2142" spans="14:14" x14ac:dyDescent="0.25">
      <c r="N2142" s="84"/>
    </row>
    <row r="2143" spans="14:14" x14ac:dyDescent="0.25">
      <c r="N2143" s="84"/>
    </row>
    <row r="2144" spans="14:14" x14ac:dyDescent="0.25">
      <c r="N2144" s="84"/>
    </row>
    <row r="2145" spans="14:14" x14ac:dyDescent="0.25">
      <c r="N2145" s="84"/>
    </row>
    <row r="2146" spans="14:14" x14ac:dyDescent="0.25">
      <c r="N2146" s="84"/>
    </row>
    <row r="2147" spans="14:14" x14ac:dyDescent="0.25">
      <c r="N2147" s="84"/>
    </row>
    <row r="2148" spans="14:14" x14ac:dyDescent="0.25">
      <c r="N2148" s="84"/>
    </row>
    <row r="2149" spans="14:14" x14ac:dyDescent="0.25">
      <c r="N2149" s="84"/>
    </row>
    <row r="2150" spans="14:14" x14ac:dyDescent="0.25">
      <c r="N2150" s="84"/>
    </row>
    <row r="2151" spans="14:14" x14ac:dyDescent="0.25">
      <c r="N2151" s="84"/>
    </row>
    <row r="2152" spans="14:14" x14ac:dyDescent="0.25">
      <c r="N2152" s="84"/>
    </row>
    <row r="2153" spans="14:14" x14ac:dyDescent="0.25">
      <c r="N2153" s="84"/>
    </row>
    <row r="2154" spans="14:14" x14ac:dyDescent="0.25">
      <c r="N2154" s="84"/>
    </row>
    <row r="2155" spans="14:14" x14ac:dyDescent="0.25">
      <c r="N2155" s="84"/>
    </row>
    <row r="2156" spans="14:14" x14ac:dyDescent="0.25">
      <c r="N2156" s="84"/>
    </row>
    <row r="2157" spans="14:14" x14ac:dyDescent="0.25">
      <c r="N2157" s="84"/>
    </row>
    <row r="2158" spans="14:14" x14ac:dyDescent="0.25">
      <c r="N2158" s="84"/>
    </row>
    <row r="2159" spans="14:14" x14ac:dyDescent="0.25">
      <c r="N2159" s="84"/>
    </row>
    <row r="2160" spans="14:14" x14ac:dyDescent="0.25">
      <c r="N2160" s="84"/>
    </row>
    <row r="2161" spans="14:14" x14ac:dyDescent="0.25">
      <c r="N2161" s="84"/>
    </row>
    <row r="2162" spans="14:14" x14ac:dyDescent="0.25">
      <c r="N2162" s="84"/>
    </row>
    <row r="2163" spans="14:14" x14ac:dyDescent="0.25">
      <c r="N2163" s="84"/>
    </row>
    <row r="2164" spans="14:14" x14ac:dyDescent="0.25">
      <c r="N2164" s="84"/>
    </row>
    <row r="2165" spans="14:14" x14ac:dyDescent="0.25">
      <c r="N2165" s="84"/>
    </row>
    <row r="2166" spans="14:14" x14ac:dyDescent="0.25">
      <c r="N2166" s="84"/>
    </row>
    <row r="2167" spans="14:14" x14ac:dyDescent="0.25">
      <c r="N2167" s="84"/>
    </row>
    <row r="2168" spans="14:14" x14ac:dyDescent="0.25">
      <c r="N2168" s="84"/>
    </row>
    <row r="2169" spans="14:14" x14ac:dyDescent="0.25">
      <c r="N2169" s="84"/>
    </row>
    <row r="2170" spans="14:14" x14ac:dyDescent="0.25">
      <c r="N2170" s="84"/>
    </row>
    <row r="2171" spans="14:14" x14ac:dyDescent="0.25">
      <c r="N2171" s="84"/>
    </row>
    <row r="2172" spans="14:14" x14ac:dyDescent="0.25">
      <c r="N2172" s="84"/>
    </row>
    <row r="2173" spans="14:14" x14ac:dyDescent="0.25">
      <c r="N2173" s="84"/>
    </row>
    <row r="2174" spans="14:14" x14ac:dyDescent="0.25">
      <c r="N2174" s="84"/>
    </row>
    <row r="2175" spans="14:14" x14ac:dyDescent="0.25">
      <c r="N2175" s="84"/>
    </row>
    <row r="2176" spans="14:14" x14ac:dyDescent="0.25">
      <c r="N2176" s="84"/>
    </row>
    <row r="2177" spans="14:14" x14ac:dyDescent="0.25">
      <c r="N2177" s="84"/>
    </row>
    <row r="2178" spans="14:14" x14ac:dyDescent="0.25">
      <c r="N2178" s="84"/>
    </row>
    <row r="2179" spans="14:14" x14ac:dyDescent="0.25">
      <c r="N2179" s="84"/>
    </row>
    <row r="2180" spans="14:14" x14ac:dyDescent="0.25">
      <c r="N2180" s="84"/>
    </row>
    <row r="2181" spans="14:14" x14ac:dyDescent="0.25">
      <c r="N2181" s="84"/>
    </row>
    <row r="2182" spans="14:14" x14ac:dyDescent="0.25">
      <c r="N2182" s="84"/>
    </row>
    <row r="2183" spans="14:14" x14ac:dyDescent="0.25">
      <c r="N2183" s="84"/>
    </row>
    <row r="2184" spans="14:14" x14ac:dyDescent="0.25">
      <c r="N2184" s="84"/>
    </row>
    <row r="2185" spans="14:14" x14ac:dyDescent="0.25">
      <c r="N2185" s="84"/>
    </row>
    <row r="2186" spans="14:14" x14ac:dyDescent="0.25">
      <c r="N2186" s="84"/>
    </row>
    <row r="2187" spans="14:14" x14ac:dyDescent="0.25">
      <c r="N2187" s="84"/>
    </row>
    <row r="2188" spans="14:14" x14ac:dyDescent="0.25">
      <c r="N2188" s="84"/>
    </row>
    <row r="2189" spans="14:14" x14ac:dyDescent="0.25">
      <c r="N2189" s="84"/>
    </row>
    <row r="2190" spans="14:14" x14ac:dyDescent="0.25">
      <c r="N2190" s="84"/>
    </row>
    <row r="2191" spans="14:14" x14ac:dyDescent="0.25">
      <c r="N2191" s="84"/>
    </row>
    <row r="2192" spans="14:14" x14ac:dyDescent="0.25">
      <c r="N2192" s="84"/>
    </row>
    <row r="2193" spans="14:14" x14ac:dyDescent="0.25">
      <c r="N2193" s="84"/>
    </row>
    <row r="2194" spans="14:14" x14ac:dyDescent="0.25">
      <c r="N2194" s="84"/>
    </row>
    <row r="2195" spans="14:14" x14ac:dyDescent="0.25">
      <c r="N2195" s="84"/>
    </row>
    <row r="2196" spans="14:14" x14ac:dyDescent="0.25">
      <c r="N2196" s="84"/>
    </row>
    <row r="2197" spans="14:14" x14ac:dyDescent="0.25">
      <c r="N2197" s="84"/>
    </row>
    <row r="2198" spans="14:14" x14ac:dyDescent="0.25">
      <c r="N2198" s="84"/>
    </row>
    <row r="2199" spans="14:14" x14ac:dyDescent="0.25">
      <c r="N2199" s="84"/>
    </row>
    <row r="2200" spans="14:14" x14ac:dyDescent="0.25">
      <c r="N2200" s="84"/>
    </row>
    <row r="2201" spans="14:14" x14ac:dyDescent="0.25">
      <c r="N2201" s="84"/>
    </row>
    <row r="2202" spans="14:14" x14ac:dyDescent="0.25">
      <c r="N2202" s="84"/>
    </row>
    <row r="2203" spans="14:14" x14ac:dyDescent="0.25">
      <c r="N2203" s="84"/>
    </row>
    <row r="2204" spans="14:14" x14ac:dyDescent="0.25">
      <c r="N2204" s="84"/>
    </row>
    <row r="2205" spans="14:14" x14ac:dyDescent="0.25">
      <c r="N2205" s="84"/>
    </row>
    <row r="2206" spans="14:14" x14ac:dyDescent="0.25">
      <c r="N2206" s="84"/>
    </row>
    <row r="2207" spans="14:14" x14ac:dyDescent="0.25">
      <c r="N2207" s="84"/>
    </row>
    <row r="2208" spans="14:14" x14ac:dyDescent="0.25">
      <c r="N2208" s="84"/>
    </row>
    <row r="2209" spans="14:14" x14ac:dyDescent="0.25">
      <c r="N2209" s="84"/>
    </row>
    <row r="2210" spans="14:14" x14ac:dyDescent="0.25">
      <c r="N2210" s="84"/>
    </row>
    <row r="2211" spans="14:14" x14ac:dyDescent="0.25">
      <c r="N2211" s="84"/>
    </row>
    <row r="2212" spans="14:14" x14ac:dyDescent="0.25">
      <c r="N2212" s="84"/>
    </row>
    <row r="2213" spans="14:14" x14ac:dyDescent="0.25">
      <c r="N2213" s="84"/>
    </row>
    <row r="2214" spans="14:14" x14ac:dyDescent="0.25">
      <c r="N2214" s="84"/>
    </row>
    <row r="2215" spans="14:14" x14ac:dyDescent="0.25">
      <c r="N2215" s="84"/>
    </row>
    <row r="2216" spans="14:14" x14ac:dyDescent="0.25">
      <c r="N2216" s="84"/>
    </row>
    <row r="2217" spans="14:14" x14ac:dyDescent="0.25">
      <c r="N2217" s="84"/>
    </row>
    <row r="2218" spans="14:14" x14ac:dyDescent="0.25">
      <c r="N2218" s="84"/>
    </row>
    <row r="2219" spans="14:14" x14ac:dyDescent="0.25">
      <c r="N2219" s="84"/>
    </row>
    <row r="2220" spans="14:14" x14ac:dyDescent="0.25">
      <c r="N2220" s="84"/>
    </row>
    <row r="2221" spans="14:14" x14ac:dyDescent="0.25">
      <c r="N2221" s="84"/>
    </row>
    <row r="2222" spans="14:14" x14ac:dyDescent="0.25">
      <c r="N2222" s="84"/>
    </row>
    <row r="2223" spans="14:14" x14ac:dyDescent="0.25">
      <c r="N2223" s="84"/>
    </row>
    <row r="2224" spans="14:14" x14ac:dyDescent="0.25">
      <c r="N2224" s="84"/>
    </row>
    <row r="2225" spans="14:14" x14ac:dyDescent="0.25">
      <c r="N2225" s="84"/>
    </row>
    <row r="2226" spans="14:14" x14ac:dyDescent="0.25">
      <c r="N2226" s="84"/>
    </row>
    <row r="2227" spans="14:14" x14ac:dyDescent="0.25">
      <c r="N2227" s="84"/>
    </row>
    <row r="2228" spans="14:14" x14ac:dyDescent="0.25">
      <c r="N2228" s="84"/>
    </row>
    <row r="2229" spans="14:14" x14ac:dyDescent="0.25">
      <c r="N2229" s="84"/>
    </row>
    <row r="2230" spans="14:14" x14ac:dyDescent="0.25">
      <c r="N2230" s="84"/>
    </row>
    <row r="2231" spans="14:14" x14ac:dyDescent="0.25">
      <c r="N2231" s="84"/>
    </row>
    <row r="2232" spans="14:14" x14ac:dyDescent="0.25">
      <c r="N2232" s="84"/>
    </row>
    <row r="2233" spans="14:14" x14ac:dyDescent="0.25">
      <c r="N2233" s="84"/>
    </row>
    <row r="2234" spans="14:14" x14ac:dyDescent="0.25">
      <c r="N2234" s="84"/>
    </row>
    <row r="2235" spans="14:14" x14ac:dyDescent="0.25">
      <c r="N2235" s="84"/>
    </row>
    <row r="2236" spans="14:14" x14ac:dyDescent="0.25">
      <c r="N2236" s="84"/>
    </row>
    <row r="2237" spans="14:14" x14ac:dyDescent="0.25">
      <c r="N2237" s="84"/>
    </row>
    <row r="2238" spans="14:14" x14ac:dyDescent="0.25">
      <c r="N2238" s="84"/>
    </row>
    <row r="2239" spans="14:14" x14ac:dyDescent="0.25">
      <c r="N2239" s="84"/>
    </row>
    <row r="2240" spans="14:14" x14ac:dyDescent="0.25">
      <c r="N2240" s="84"/>
    </row>
    <row r="2241" spans="14:14" x14ac:dyDescent="0.25">
      <c r="N2241" s="84"/>
    </row>
    <row r="2242" spans="14:14" x14ac:dyDescent="0.25">
      <c r="N2242" s="84"/>
    </row>
    <row r="2243" spans="14:14" x14ac:dyDescent="0.25">
      <c r="N2243" s="84"/>
    </row>
    <row r="2244" spans="14:14" x14ac:dyDescent="0.25">
      <c r="N2244" s="84"/>
    </row>
    <row r="2245" spans="14:14" x14ac:dyDescent="0.25">
      <c r="N2245" s="84"/>
    </row>
    <row r="2246" spans="14:14" x14ac:dyDescent="0.25">
      <c r="N2246" s="84"/>
    </row>
    <row r="2247" spans="14:14" x14ac:dyDescent="0.25">
      <c r="N2247" s="84"/>
    </row>
    <row r="2248" spans="14:14" x14ac:dyDescent="0.25">
      <c r="N2248" s="84"/>
    </row>
    <row r="2249" spans="14:14" x14ac:dyDescent="0.25">
      <c r="N2249" s="84"/>
    </row>
    <row r="2250" spans="14:14" x14ac:dyDescent="0.25">
      <c r="N2250" s="84"/>
    </row>
    <row r="2251" spans="14:14" x14ac:dyDescent="0.25">
      <c r="N2251" s="84"/>
    </row>
    <row r="2252" spans="14:14" x14ac:dyDescent="0.25">
      <c r="N2252" s="84"/>
    </row>
    <row r="2253" spans="14:14" x14ac:dyDescent="0.25">
      <c r="N2253" s="84"/>
    </row>
    <row r="2254" spans="14:14" x14ac:dyDescent="0.25">
      <c r="N2254" s="84"/>
    </row>
    <row r="2255" spans="14:14" x14ac:dyDescent="0.25">
      <c r="N2255" s="84"/>
    </row>
    <row r="2256" spans="14:14" x14ac:dyDescent="0.25">
      <c r="N2256" s="84"/>
    </row>
    <row r="2257" spans="14:14" x14ac:dyDescent="0.25">
      <c r="N2257" s="84"/>
    </row>
    <row r="2258" spans="14:14" x14ac:dyDescent="0.25">
      <c r="N2258" s="84"/>
    </row>
    <row r="2259" spans="14:14" x14ac:dyDescent="0.25">
      <c r="N2259" s="84"/>
    </row>
    <row r="2260" spans="14:14" x14ac:dyDescent="0.25">
      <c r="N2260" s="84"/>
    </row>
    <row r="2261" spans="14:14" x14ac:dyDescent="0.25">
      <c r="N2261" s="84"/>
    </row>
    <row r="2262" spans="14:14" x14ac:dyDescent="0.25">
      <c r="N2262" s="84"/>
    </row>
    <row r="2263" spans="14:14" x14ac:dyDescent="0.25">
      <c r="N2263" s="84"/>
    </row>
    <row r="2264" spans="14:14" x14ac:dyDescent="0.25">
      <c r="N2264" s="84"/>
    </row>
    <row r="2265" spans="14:14" x14ac:dyDescent="0.25">
      <c r="N2265" s="84"/>
    </row>
    <row r="2266" spans="14:14" x14ac:dyDescent="0.25">
      <c r="N2266" s="84"/>
    </row>
    <row r="2267" spans="14:14" x14ac:dyDescent="0.25">
      <c r="N2267" s="84"/>
    </row>
    <row r="2268" spans="14:14" x14ac:dyDescent="0.25">
      <c r="N2268" s="84"/>
    </row>
    <row r="2269" spans="14:14" x14ac:dyDescent="0.25">
      <c r="N2269" s="84"/>
    </row>
    <row r="2270" spans="14:14" x14ac:dyDescent="0.25">
      <c r="N2270" s="84"/>
    </row>
    <row r="2271" spans="14:14" x14ac:dyDescent="0.25">
      <c r="N2271" s="84"/>
    </row>
    <row r="2272" spans="14:14" x14ac:dyDescent="0.25">
      <c r="N2272" s="84"/>
    </row>
    <row r="2273" spans="14:14" x14ac:dyDescent="0.25">
      <c r="N2273" s="84"/>
    </row>
    <row r="2274" spans="14:14" x14ac:dyDescent="0.25">
      <c r="N2274" s="84"/>
    </row>
    <row r="2275" spans="14:14" x14ac:dyDescent="0.25">
      <c r="N2275" s="84"/>
    </row>
    <row r="2276" spans="14:14" x14ac:dyDescent="0.25">
      <c r="N2276" s="84"/>
    </row>
    <row r="2277" spans="14:14" x14ac:dyDescent="0.25">
      <c r="N2277" s="84"/>
    </row>
    <row r="2278" spans="14:14" x14ac:dyDescent="0.25">
      <c r="N2278" s="84"/>
    </row>
    <row r="2279" spans="14:14" x14ac:dyDescent="0.25">
      <c r="N2279" s="84"/>
    </row>
    <row r="2280" spans="14:14" x14ac:dyDescent="0.25">
      <c r="N2280" s="84"/>
    </row>
    <row r="2281" spans="14:14" x14ac:dyDescent="0.25">
      <c r="N2281" s="84"/>
    </row>
    <row r="2282" spans="14:14" x14ac:dyDescent="0.25">
      <c r="N2282" s="84"/>
    </row>
    <row r="2283" spans="14:14" x14ac:dyDescent="0.25">
      <c r="N2283" s="84"/>
    </row>
    <row r="2284" spans="14:14" x14ac:dyDescent="0.25">
      <c r="N2284" s="84"/>
    </row>
    <row r="2285" spans="14:14" x14ac:dyDescent="0.25">
      <c r="N2285" s="84"/>
    </row>
    <row r="2286" spans="14:14" x14ac:dyDescent="0.25">
      <c r="N2286" s="84"/>
    </row>
    <row r="2287" spans="14:14" x14ac:dyDescent="0.25">
      <c r="N2287" s="84"/>
    </row>
    <row r="2288" spans="14:14" x14ac:dyDescent="0.25">
      <c r="N2288" s="84"/>
    </row>
    <row r="2289" spans="14:14" x14ac:dyDescent="0.25">
      <c r="N2289" s="84"/>
    </row>
    <row r="2290" spans="14:14" x14ac:dyDescent="0.25">
      <c r="N2290" s="84"/>
    </row>
    <row r="2291" spans="14:14" x14ac:dyDescent="0.25">
      <c r="N2291" s="84"/>
    </row>
    <row r="2292" spans="14:14" x14ac:dyDescent="0.25">
      <c r="N2292" s="84"/>
    </row>
    <row r="2293" spans="14:14" x14ac:dyDescent="0.25">
      <c r="N2293" s="84"/>
    </row>
    <row r="2294" spans="14:14" x14ac:dyDescent="0.25">
      <c r="N2294" s="84"/>
    </row>
    <row r="2295" spans="14:14" x14ac:dyDescent="0.25">
      <c r="N2295" s="84"/>
    </row>
    <row r="2296" spans="14:14" x14ac:dyDescent="0.25">
      <c r="N2296" s="84"/>
    </row>
    <row r="2297" spans="14:14" x14ac:dyDescent="0.25">
      <c r="N2297" s="84"/>
    </row>
    <row r="2298" spans="14:14" x14ac:dyDescent="0.25">
      <c r="N2298" s="84"/>
    </row>
    <row r="2299" spans="14:14" x14ac:dyDescent="0.25">
      <c r="N2299" s="84"/>
    </row>
    <row r="2300" spans="14:14" x14ac:dyDescent="0.25">
      <c r="N2300" s="84"/>
    </row>
    <row r="2301" spans="14:14" x14ac:dyDescent="0.25">
      <c r="N2301" s="84"/>
    </row>
    <row r="2302" spans="14:14" x14ac:dyDescent="0.25">
      <c r="N2302" s="84"/>
    </row>
    <row r="2303" spans="14:14" x14ac:dyDescent="0.25">
      <c r="N2303" s="84"/>
    </row>
    <row r="2304" spans="14:14" x14ac:dyDescent="0.25">
      <c r="N2304" s="84"/>
    </row>
    <row r="2305" spans="14:14" x14ac:dyDescent="0.25">
      <c r="N2305" s="84"/>
    </row>
    <row r="2306" spans="14:14" x14ac:dyDescent="0.25">
      <c r="N2306" s="84"/>
    </row>
    <row r="2307" spans="14:14" x14ac:dyDescent="0.25">
      <c r="N2307" s="84"/>
    </row>
    <row r="2308" spans="14:14" x14ac:dyDescent="0.25">
      <c r="N2308" s="84"/>
    </row>
    <row r="2309" spans="14:14" x14ac:dyDescent="0.25">
      <c r="N2309" s="84"/>
    </row>
    <row r="2310" spans="14:14" x14ac:dyDescent="0.25">
      <c r="N2310" s="84"/>
    </row>
    <row r="2311" spans="14:14" x14ac:dyDescent="0.25">
      <c r="N2311" s="84"/>
    </row>
    <row r="2312" spans="14:14" x14ac:dyDescent="0.25">
      <c r="N2312" s="84"/>
    </row>
    <row r="2313" spans="14:14" x14ac:dyDescent="0.25">
      <c r="N2313" s="84"/>
    </row>
    <row r="2314" spans="14:14" x14ac:dyDescent="0.25">
      <c r="N2314" s="84"/>
    </row>
    <row r="2315" spans="14:14" x14ac:dyDescent="0.25">
      <c r="N2315" s="84"/>
    </row>
    <row r="2316" spans="14:14" x14ac:dyDescent="0.25">
      <c r="N2316" s="84"/>
    </row>
    <row r="2317" spans="14:14" x14ac:dyDescent="0.25">
      <c r="N2317" s="84"/>
    </row>
    <row r="2318" spans="14:14" x14ac:dyDescent="0.25">
      <c r="N2318" s="84"/>
    </row>
    <row r="2319" spans="14:14" x14ac:dyDescent="0.25">
      <c r="N2319" s="84"/>
    </row>
    <row r="2320" spans="14:14" x14ac:dyDescent="0.25">
      <c r="N2320" s="84"/>
    </row>
    <row r="2321" spans="14:14" x14ac:dyDescent="0.25">
      <c r="N2321" s="84"/>
    </row>
    <row r="2322" spans="14:14" x14ac:dyDescent="0.25">
      <c r="N2322" s="84"/>
    </row>
    <row r="2323" spans="14:14" x14ac:dyDescent="0.25">
      <c r="N2323" s="84"/>
    </row>
    <row r="2324" spans="14:14" x14ac:dyDescent="0.25">
      <c r="N2324" s="84"/>
    </row>
    <row r="2325" spans="14:14" x14ac:dyDescent="0.25">
      <c r="N2325" s="84"/>
    </row>
    <row r="2326" spans="14:14" x14ac:dyDescent="0.25">
      <c r="N2326" s="84"/>
    </row>
    <row r="2327" spans="14:14" x14ac:dyDescent="0.25">
      <c r="N2327" s="84"/>
    </row>
    <row r="2328" spans="14:14" x14ac:dyDescent="0.25">
      <c r="N2328" s="84"/>
    </row>
    <row r="2329" spans="14:14" x14ac:dyDescent="0.25">
      <c r="N2329" s="84"/>
    </row>
    <row r="2330" spans="14:14" x14ac:dyDescent="0.25">
      <c r="N2330" s="84"/>
    </row>
    <row r="2331" spans="14:14" x14ac:dyDescent="0.25">
      <c r="N2331" s="84"/>
    </row>
    <row r="2332" spans="14:14" x14ac:dyDescent="0.25">
      <c r="N2332" s="84"/>
    </row>
    <row r="2333" spans="14:14" x14ac:dyDescent="0.25">
      <c r="N2333" s="84"/>
    </row>
    <row r="2334" spans="14:14" x14ac:dyDescent="0.25">
      <c r="N2334" s="84"/>
    </row>
    <row r="2335" spans="14:14" x14ac:dyDescent="0.25">
      <c r="N2335" s="84"/>
    </row>
    <row r="2336" spans="14:14" x14ac:dyDescent="0.25">
      <c r="N2336" s="84"/>
    </row>
    <row r="2337" spans="14:14" x14ac:dyDescent="0.25">
      <c r="N2337" s="84"/>
    </row>
    <row r="2338" spans="14:14" x14ac:dyDescent="0.25">
      <c r="N2338" s="84"/>
    </row>
    <row r="2339" spans="14:14" x14ac:dyDescent="0.25">
      <c r="N2339" s="84"/>
    </row>
    <row r="2340" spans="14:14" x14ac:dyDescent="0.25">
      <c r="N2340" s="84"/>
    </row>
    <row r="2341" spans="14:14" x14ac:dyDescent="0.25">
      <c r="N2341" s="84"/>
    </row>
    <row r="2342" spans="14:14" x14ac:dyDescent="0.25">
      <c r="N2342" s="84"/>
    </row>
    <row r="2343" spans="14:14" x14ac:dyDescent="0.25">
      <c r="N2343" s="84"/>
    </row>
    <row r="2344" spans="14:14" x14ac:dyDescent="0.25">
      <c r="N2344" s="84"/>
    </row>
    <row r="2345" spans="14:14" x14ac:dyDescent="0.25">
      <c r="N2345" s="84"/>
    </row>
    <row r="2346" spans="14:14" x14ac:dyDescent="0.25">
      <c r="N2346" s="84"/>
    </row>
    <row r="2347" spans="14:14" x14ac:dyDescent="0.25">
      <c r="N2347" s="84"/>
    </row>
    <row r="2348" spans="14:14" x14ac:dyDescent="0.25">
      <c r="N2348" s="84"/>
    </row>
    <row r="2349" spans="14:14" x14ac:dyDescent="0.25">
      <c r="N2349" s="84"/>
    </row>
    <row r="2350" spans="14:14" x14ac:dyDescent="0.25">
      <c r="N2350" s="84"/>
    </row>
    <row r="2351" spans="14:14" x14ac:dyDescent="0.25">
      <c r="N2351" s="84"/>
    </row>
    <row r="2352" spans="14:14" x14ac:dyDescent="0.25">
      <c r="N2352" s="84"/>
    </row>
    <row r="2353" spans="14:14" x14ac:dyDescent="0.25">
      <c r="N2353" s="84"/>
    </row>
    <row r="2354" spans="14:14" x14ac:dyDescent="0.25">
      <c r="N2354" s="84"/>
    </row>
    <row r="2355" spans="14:14" x14ac:dyDescent="0.25">
      <c r="N2355" s="84"/>
    </row>
    <row r="2356" spans="14:14" x14ac:dyDescent="0.25">
      <c r="N2356" s="84"/>
    </row>
    <row r="2357" spans="14:14" x14ac:dyDescent="0.25">
      <c r="N2357" s="84"/>
    </row>
    <row r="2358" spans="14:14" x14ac:dyDescent="0.25">
      <c r="N2358" s="84"/>
    </row>
    <row r="2359" spans="14:14" x14ac:dyDescent="0.25">
      <c r="N2359" s="84"/>
    </row>
    <row r="2360" spans="14:14" x14ac:dyDescent="0.25">
      <c r="N2360" s="84"/>
    </row>
    <row r="2361" spans="14:14" x14ac:dyDescent="0.25">
      <c r="N2361" s="84"/>
    </row>
    <row r="2362" spans="14:14" x14ac:dyDescent="0.25">
      <c r="N2362" s="84"/>
    </row>
    <row r="2363" spans="14:14" x14ac:dyDescent="0.25">
      <c r="N2363" s="84"/>
    </row>
    <row r="2364" spans="14:14" x14ac:dyDescent="0.25">
      <c r="N2364" s="84"/>
    </row>
    <row r="2365" spans="14:14" x14ac:dyDescent="0.25">
      <c r="N2365" s="84"/>
    </row>
    <row r="2366" spans="14:14" x14ac:dyDescent="0.25">
      <c r="N2366" s="84"/>
    </row>
    <row r="2367" spans="14:14" x14ac:dyDescent="0.25">
      <c r="N2367" s="84"/>
    </row>
    <row r="2368" spans="14:14" x14ac:dyDescent="0.25">
      <c r="N2368" s="84"/>
    </row>
    <row r="2369" spans="14:14" x14ac:dyDescent="0.25">
      <c r="N2369" s="84"/>
    </row>
    <row r="2370" spans="14:14" x14ac:dyDescent="0.25">
      <c r="N2370" s="84"/>
    </row>
    <row r="2371" spans="14:14" x14ac:dyDescent="0.25">
      <c r="N2371" s="84"/>
    </row>
    <row r="2372" spans="14:14" x14ac:dyDescent="0.25">
      <c r="N2372" s="84"/>
    </row>
    <row r="2373" spans="14:14" x14ac:dyDescent="0.25">
      <c r="N2373" s="84"/>
    </row>
    <row r="2374" spans="14:14" x14ac:dyDescent="0.25">
      <c r="N2374" s="84"/>
    </row>
    <row r="2375" spans="14:14" x14ac:dyDescent="0.25">
      <c r="N2375" s="84"/>
    </row>
    <row r="2376" spans="14:14" x14ac:dyDescent="0.25">
      <c r="N2376" s="84"/>
    </row>
    <row r="2377" spans="14:14" x14ac:dyDescent="0.25">
      <c r="N2377" s="84"/>
    </row>
    <row r="2378" spans="14:14" x14ac:dyDescent="0.25">
      <c r="N2378" s="84"/>
    </row>
    <row r="2379" spans="14:14" x14ac:dyDescent="0.25">
      <c r="N2379" s="84"/>
    </row>
    <row r="2380" spans="14:14" x14ac:dyDescent="0.25">
      <c r="N2380" s="84"/>
    </row>
    <row r="2381" spans="14:14" x14ac:dyDescent="0.25">
      <c r="N2381" s="84"/>
    </row>
    <row r="2382" spans="14:14" x14ac:dyDescent="0.25">
      <c r="N2382" s="84"/>
    </row>
    <row r="2383" spans="14:14" x14ac:dyDescent="0.25">
      <c r="N2383" s="84"/>
    </row>
    <row r="2384" spans="14:14" x14ac:dyDescent="0.25">
      <c r="N2384" s="84"/>
    </row>
    <row r="2385" spans="14:14" x14ac:dyDescent="0.25">
      <c r="N2385" s="84"/>
    </row>
    <row r="2386" spans="14:14" x14ac:dyDescent="0.25">
      <c r="N2386" s="84"/>
    </row>
    <row r="2387" spans="14:14" x14ac:dyDescent="0.25">
      <c r="N2387" s="84"/>
    </row>
    <row r="2388" spans="14:14" x14ac:dyDescent="0.25">
      <c r="N2388" s="84"/>
    </row>
    <row r="2389" spans="14:14" x14ac:dyDescent="0.25">
      <c r="N2389" s="84"/>
    </row>
    <row r="2390" spans="14:14" x14ac:dyDescent="0.25">
      <c r="N2390" s="84"/>
    </row>
    <row r="2391" spans="14:14" x14ac:dyDescent="0.25">
      <c r="N2391" s="84"/>
    </row>
    <row r="2392" spans="14:14" x14ac:dyDescent="0.25">
      <c r="N2392" s="84"/>
    </row>
    <row r="2393" spans="14:14" x14ac:dyDescent="0.25">
      <c r="N2393" s="84"/>
    </row>
    <row r="2394" spans="14:14" x14ac:dyDescent="0.25">
      <c r="N2394" s="84"/>
    </row>
    <row r="2395" spans="14:14" x14ac:dyDescent="0.25">
      <c r="N2395" s="84"/>
    </row>
    <row r="2396" spans="14:14" x14ac:dyDescent="0.25">
      <c r="N2396" s="84"/>
    </row>
    <row r="2397" spans="14:14" x14ac:dyDescent="0.25">
      <c r="N2397" s="84"/>
    </row>
    <row r="2398" spans="14:14" x14ac:dyDescent="0.25">
      <c r="N2398" s="84"/>
    </row>
    <row r="2399" spans="14:14" x14ac:dyDescent="0.25">
      <c r="N2399" s="84"/>
    </row>
    <row r="2400" spans="14:14" x14ac:dyDescent="0.25">
      <c r="N2400" s="84"/>
    </row>
    <row r="2401" spans="14:14" x14ac:dyDescent="0.25">
      <c r="N2401" s="84"/>
    </row>
    <row r="2402" spans="14:14" x14ac:dyDescent="0.25">
      <c r="N2402" s="84"/>
    </row>
    <row r="2403" spans="14:14" x14ac:dyDescent="0.25">
      <c r="N2403" s="84"/>
    </row>
    <row r="2404" spans="14:14" x14ac:dyDescent="0.25">
      <c r="N2404" s="84"/>
    </row>
    <row r="2405" spans="14:14" x14ac:dyDescent="0.25">
      <c r="N2405" s="84"/>
    </row>
    <row r="2406" spans="14:14" x14ac:dyDescent="0.25">
      <c r="N2406" s="84"/>
    </row>
    <row r="2407" spans="14:14" x14ac:dyDescent="0.25">
      <c r="N2407" s="84"/>
    </row>
    <row r="2408" spans="14:14" x14ac:dyDescent="0.25">
      <c r="N2408" s="84"/>
    </row>
    <row r="2409" spans="14:14" x14ac:dyDescent="0.25">
      <c r="N2409" s="84"/>
    </row>
    <row r="2410" spans="14:14" x14ac:dyDescent="0.25">
      <c r="N2410" s="84"/>
    </row>
    <row r="2411" spans="14:14" x14ac:dyDescent="0.25">
      <c r="N2411" s="84"/>
    </row>
    <row r="2412" spans="14:14" x14ac:dyDescent="0.25">
      <c r="N2412" s="84"/>
    </row>
    <row r="2413" spans="14:14" x14ac:dyDescent="0.25">
      <c r="N2413" s="84"/>
    </row>
    <row r="2414" spans="14:14" x14ac:dyDescent="0.25">
      <c r="N2414" s="84"/>
    </row>
    <row r="2415" spans="14:14" x14ac:dyDescent="0.25">
      <c r="N2415" s="84"/>
    </row>
    <row r="2416" spans="14:14" x14ac:dyDescent="0.25">
      <c r="N2416" s="84"/>
    </row>
    <row r="2417" spans="14:14" x14ac:dyDescent="0.25">
      <c r="N2417" s="84"/>
    </row>
    <row r="2418" spans="14:14" x14ac:dyDescent="0.25">
      <c r="N2418" s="84"/>
    </row>
    <row r="2419" spans="14:14" x14ac:dyDescent="0.25">
      <c r="N2419" s="84"/>
    </row>
    <row r="2420" spans="14:14" x14ac:dyDescent="0.25">
      <c r="N2420" s="84"/>
    </row>
    <row r="2421" spans="14:14" x14ac:dyDescent="0.25">
      <c r="N2421" s="84"/>
    </row>
    <row r="2422" spans="14:14" x14ac:dyDescent="0.25">
      <c r="N2422" s="84"/>
    </row>
    <row r="2423" spans="14:14" x14ac:dyDescent="0.25">
      <c r="N2423" s="84"/>
    </row>
    <row r="2424" spans="14:14" x14ac:dyDescent="0.25">
      <c r="N2424" s="84"/>
    </row>
    <row r="2425" spans="14:14" x14ac:dyDescent="0.25">
      <c r="N2425" s="84"/>
    </row>
    <row r="2426" spans="14:14" x14ac:dyDescent="0.25">
      <c r="N2426" s="84"/>
    </row>
    <row r="2427" spans="14:14" x14ac:dyDescent="0.25">
      <c r="N2427" s="84"/>
    </row>
    <row r="2428" spans="14:14" x14ac:dyDescent="0.25">
      <c r="N2428" s="84"/>
    </row>
    <row r="2429" spans="14:14" x14ac:dyDescent="0.25">
      <c r="N2429" s="84"/>
    </row>
    <row r="2430" spans="14:14" x14ac:dyDescent="0.25">
      <c r="N2430" s="84"/>
    </row>
    <row r="2431" spans="14:14" x14ac:dyDescent="0.25">
      <c r="N2431" s="84"/>
    </row>
    <row r="2432" spans="14:14" x14ac:dyDescent="0.25">
      <c r="N2432" s="84"/>
    </row>
    <row r="2433" spans="14:14" x14ac:dyDescent="0.25">
      <c r="N2433" s="84"/>
    </row>
    <row r="2434" spans="14:14" x14ac:dyDescent="0.25">
      <c r="N2434" s="84"/>
    </row>
    <row r="2435" spans="14:14" x14ac:dyDescent="0.25">
      <c r="N2435" s="84"/>
    </row>
    <row r="2436" spans="14:14" x14ac:dyDescent="0.25">
      <c r="N2436" s="84"/>
    </row>
    <row r="2437" spans="14:14" x14ac:dyDescent="0.25">
      <c r="N2437" s="84"/>
    </row>
    <row r="2438" spans="14:14" x14ac:dyDescent="0.25">
      <c r="N2438" s="84"/>
    </row>
    <row r="2439" spans="14:14" x14ac:dyDescent="0.25">
      <c r="N2439" s="84"/>
    </row>
    <row r="2440" spans="14:14" x14ac:dyDescent="0.25">
      <c r="N2440" s="84"/>
    </row>
    <row r="2441" spans="14:14" x14ac:dyDescent="0.25">
      <c r="N2441" s="84"/>
    </row>
    <row r="2442" spans="14:14" x14ac:dyDescent="0.25">
      <c r="N2442" s="84"/>
    </row>
    <row r="2443" spans="14:14" x14ac:dyDescent="0.25">
      <c r="N2443" s="84"/>
    </row>
    <row r="2444" spans="14:14" x14ac:dyDescent="0.25">
      <c r="N2444" s="84"/>
    </row>
    <row r="2445" spans="14:14" x14ac:dyDescent="0.25">
      <c r="N2445" s="84"/>
    </row>
    <row r="2446" spans="14:14" x14ac:dyDescent="0.25">
      <c r="N2446" s="84"/>
    </row>
    <row r="2447" spans="14:14" x14ac:dyDescent="0.25">
      <c r="N2447" s="84"/>
    </row>
    <row r="2448" spans="14:14" x14ac:dyDescent="0.25">
      <c r="N2448" s="84"/>
    </row>
    <row r="2449" spans="14:14" x14ac:dyDescent="0.25">
      <c r="N2449" s="84"/>
    </row>
    <row r="2450" spans="14:14" x14ac:dyDescent="0.25">
      <c r="N2450" s="84"/>
    </row>
    <row r="2451" spans="14:14" x14ac:dyDescent="0.25">
      <c r="N2451" s="84"/>
    </row>
    <row r="2452" spans="14:14" x14ac:dyDescent="0.25">
      <c r="N2452" s="84"/>
    </row>
    <row r="2453" spans="14:14" x14ac:dyDescent="0.25">
      <c r="N2453" s="84"/>
    </row>
    <row r="2454" spans="14:14" x14ac:dyDescent="0.25">
      <c r="N2454" s="84"/>
    </row>
    <row r="2455" spans="14:14" x14ac:dyDescent="0.25">
      <c r="N2455" s="84"/>
    </row>
    <row r="2456" spans="14:14" x14ac:dyDescent="0.25">
      <c r="N2456" s="84"/>
    </row>
    <row r="2457" spans="14:14" x14ac:dyDescent="0.25">
      <c r="N2457" s="84"/>
    </row>
    <row r="2458" spans="14:14" x14ac:dyDescent="0.25">
      <c r="N2458" s="84"/>
    </row>
    <row r="2459" spans="14:14" x14ac:dyDescent="0.25">
      <c r="N2459" s="84"/>
    </row>
    <row r="2460" spans="14:14" x14ac:dyDescent="0.25">
      <c r="N2460" s="84"/>
    </row>
    <row r="2461" spans="14:14" x14ac:dyDescent="0.25">
      <c r="N2461" s="84"/>
    </row>
    <row r="2462" spans="14:14" x14ac:dyDescent="0.25">
      <c r="N2462" s="84"/>
    </row>
    <row r="2463" spans="14:14" x14ac:dyDescent="0.25">
      <c r="N2463" s="84"/>
    </row>
    <row r="2464" spans="14:14" x14ac:dyDescent="0.25">
      <c r="N2464" s="84"/>
    </row>
    <row r="2465" spans="14:14" x14ac:dyDescent="0.25">
      <c r="N2465" s="84"/>
    </row>
    <row r="2466" spans="14:14" x14ac:dyDescent="0.25">
      <c r="N2466" s="84"/>
    </row>
    <row r="2467" spans="14:14" x14ac:dyDescent="0.25">
      <c r="N2467" s="84"/>
    </row>
    <row r="2468" spans="14:14" x14ac:dyDescent="0.25">
      <c r="N2468" s="84"/>
    </row>
    <row r="2469" spans="14:14" x14ac:dyDescent="0.25">
      <c r="N2469" s="84"/>
    </row>
    <row r="2470" spans="14:14" x14ac:dyDescent="0.25">
      <c r="N2470" s="84"/>
    </row>
    <row r="2471" spans="14:14" x14ac:dyDescent="0.25">
      <c r="N2471" s="84"/>
    </row>
    <row r="2472" spans="14:14" x14ac:dyDescent="0.25">
      <c r="N2472" s="84"/>
    </row>
    <row r="2473" spans="14:14" x14ac:dyDescent="0.25">
      <c r="N2473" s="84"/>
    </row>
    <row r="2474" spans="14:14" x14ac:dyDescent="0.25">
      <c r="N2474" s="84"/>
    </row>
    <row r="2475" spans="14:14" x14ac:dyDescent="0.25">
      <c r="N2475" s="84"/>
    </row>
    <row r="2476" spans="14:14" x14ac:dyDescent="0.25">
      <c r="N2476" s="84"/>
    </row>
    <row r="2477" spans="14:14" x14ac:dyDescent="0.25">
      <c r="N2477" s="84"/>
    </row>
    <row r="2478" spans="14:14" x14ac:dyDescent="0.25">
      <c r="N2478" s="84"/>
    </row>
    <row r="2479" spans="14:14" x14ac:dyDescent="0.25">
      <c r="N2479" s="84"/>
    </row>
    <row r="2480" spans="14:14" x14ac:dyDescent="0.25">
      <c r="N2480" s="84"/>
    </row>
    <row r="2481" spans="14:14" x14ac:dyDescent="0.25">
      <c r="N2481" s="84"/>
    </row>
    <row r="2482" spans="14:14" x14ac:dyDescent="0.25">
      <c r="N2482" s="84"/>
    </row>
    <row r="2483" spans="14:14" x14ac:dyDescent="0.25">
      <c r="N2483" s="84"/>
    </row>
    <row r="2484" spans="14:14" x14ac:dyDescent="0.25">
      <c r="N2484" s="84"/>
    </row>
    <row r="2485" spans="14:14" x14ac:dyDescent="0.25">
      <c r="N2485" s="84"/>
    </row>
    <row r="2486" spans="14:14" x14ac:dyDescent="0.25">
      <c r="N2486" s="84"/>
    </row>
    <row r="2487" spans="14:14" x14ac:dyDescent="0.25">
      <c r="N2487" s="84"/>
    </row>
    <row r="2488" spans="14:14" x14ac:dyDescent="0.25">
      <c r="N2488" s="84"/>
    </row>
    <row r="2489" spans="14:14" x14ac:dyDescent="0.25">
      <c r="N2489" s="84"/>
    </row>
    <row r="2490" spans="14:14" x14ac:dyDescent="0.25">
      <c r="N2490" s="84"/>
    </row>
    <row r="2491" spans="14:14" x14ac:dyDescent="0.25">
      <c r="N2491" s="84"/>
    </row>
    <row r="2492" spans="14:14" x14ac:dyDescent="0.25">
      <c r="N2492" s="84"/>
    </row>
    <row r="2493" spans="14:14" x14ac:dyDescent="0.25">
      <c r="N2493" s="84"/>
    </row>
    <row r="2494" spans="14:14" x14ac:dyDescent="0.25">
      <c r="N2494" s="84"/>
    </row>
    <row r="2495" spans="14:14" x14ac:dyDescent="0.25">
      <c r="N2495" s="84"/>
    </row>
    <row r="2496" spans="14:14" x14ac:dyDescent="0.25">
      <c r="N2496" s="84"/>
    </row>
    <row r="2497" spans="14:14" x14ac:dyDescent="0.25">
      <c r="N2497" s="84"/>
    </row>
    <row r="2498" spans="14:14" x14ac:dyDescent="0.25">
      <c r="N2498" s="84"/>
    </row>
    <row r="2499" spans="14:14" x14ac:dyDescent="0.25">
      <c r="N2499" s="84"/>
    </row>
    <row r="2500" spans="14:14" x14ac:dyDescent="0.25">
      <c r="N2500" s="84"/>
    </row>
    <row r="2501" spans="14:14" x14ac:dyDescent="0.25">
      <c r="N2501" s="84"/>
    </row>
    <row r="2502" spans="14:14" x14ac:dyDescent="0.25">
      <c r="N2502" s="84"/>
    </row>
    <row r="2503" spans="14:14" x14ac:dyDescent="0.25">
      <c r="N2503" s="84"/>
    </row>
    <row r="2504" spans="14:14" x14ac:dyDescent="0.25">
      <c r="N2504" s="84"/>
    </row>
    <row r="2505" spans="14:14" x14ac:dyDescent="0.25">
      <c r="N2505" s="84"/>
    </row>
    <row r="2506" spans="14:14" x14ac:dyDescent="0.25">
      <c r="N2506" s="84"/>
    </row>
    <row r="2507" spans="14:14" x14ac:dyDescent="0.25">
      <c r="N2507" s="84"/>
    </row>
    <row r="2508" spans="14:14" x14ac:dyDescent="0.25">
      <c r="N2508" s="84"/>
    </row>
    <row r="2509" spans="14:14" x14ac:dyDescent="0.25">
      <c r="N2509" s="84"/>
    </row>
    <row r="2510" spans="14:14" x14ac:dyDescent="0.25">
      <c r="N2510" s="84"/>
    </row>
    <row r="2511" spans="14:14" x14ac:dyDescent="0.25">
      <c r="N2511" s="84"/>
    </row>
    <row r="2512" spans="14:14" x14ac:dyDescent="0.25">
      <c r="N2512" s="84"/>
    </row>
    <row r="2513" spans="14:14" x14ac:dyDescent="0.25">
      <c r="N2513" s="84"/>
    </row>
    <row r="2514" spans="14:14" x14ac:dyDescent="0.25">
      <c r="N2514" s="84"/>
    </row>
    <row r="2515" spans="14:14" x14ac:dyDescent="0.25">
      <c r="N2515" s="84"/>
    </row>
    <row r="2516" spans="14:14" x14ac:dyDescent="0.25">
      <c r="N2516" s="84"/>
    </row>
    <row r="2517" spans="14:14" x14ac:dyDescent="0.25">
      <c r="N2517" s="84"/>
    </row>
    <row r="2518" spans="14:14" x14ac:dyDescent="0.25">
      <c r="N2518" s="84"/>
    </row>
    <row r="2519" spans="14:14" x14ac:dyDescent="0.25">
      <c r="N2519" s="84"/>
    </row>
    <row r="2520" spans="14:14" x14ac:dyDescent="0.25">
      <c r="N2520" s="84"/>
    </row>
    <row r="2521" spans="14:14" x14ac:dyDescent="0.25">
      <c r="N2521" s="84"/>
    </row>
    <row r="2522" spans="14:14" x14ac:dyDescent="0.25">
      <c r="N2522" s="84"/>
    </row>
    <row r="2523" spans="14:14" x14ac:dyDescent="0.25">
      <c r="N2523" s="84"/>
    </row>
    <row r="2524" spans="14:14" x14ac:dyDescent="0.25">
      <c r="N2524" s="84"/>
    </row>
    <row r="2525" spans="14:14" x14ac:dyDescent="0.25">
      <c r="N2525" s="84"/>
    </row>
    <row r="2526" spans="14:14" x14ac:dyDescent="0.25">
      <c r="N2526" s="84"/>
    </row>
    <row r="2527" spans="14:14" x14ac:dyDescent="0.25">
      <c r="N2527" s="84"/>
    </row>
    <row r="2528" spans="14:14" x14ac:dyDescent="0.25">
      <c r="N2528" s="84"/>
    </row>
    <row r="2529" spans="14:14" x14ac:dyDescent="0.25">
      <c r="N2529" s="84"/>
    </row>
    <row r="2530" spans="14:14" x14ac:dyDescent="0.25">
      <c r="N2530" s="84"/>
    </row>
    <row r="2531" spans="14:14" x14ac:dyDescent="0.25">
      <c r="N2531" s="84"/>
    </row>
    <row r="2532" spans="14:14" x14ac:dyDescent="0.25">
      <c r="N2532" s="84"/>
    </row>
    <row r="2533" spans="14:14" x14ac:dyDescent="0.25">
      <c r="N2533" s="84"/>
    </row>
    <row r="2534" spans="14:14" x14ac:dyDescent="0.25">
      <c r="N2534" s="84"/>
    </row>
    <row r="2535" spans="14:14" x14ac:dyDescent="0.25">
      <c r="N2535" s="84"/>
    </row>
    <row r="2536" spans="14:14" x14ac:dyDescent="0.25">
      <c r="N2536" s="84"/>
    </row>
    <row r="2537" spans="14:14" x14ac:dyDescent="0.25">
      <c r="N2537" s="84"/>
    </row>
    <row r="2538" spans="14:14" x14ac:dyDescent="0.25">
      <c r="N2538" s="84"/>
    </row>
    <row r="2539" spans="14:14" x14ac:dyDescent="0.25">
      <c r="N2539" s="84"/>
    </row>
    <row r="2540" spans="14:14" x14ac:dyDescent="0.25">
      <c r="N2540" s="84"/>
    </row>
    <row r="2541" spans="14:14" x14ac:dyDescent="0.25">
      <c r="N2541" s="84"/>
    </row>
    <row r="2542" spans="14:14" x14ac:dyDescent="0.25">
      <c r="N2542" s="84"/>
    </row>
    <row r="2543" spans="14:14" x14ac:dyDescent="0.25">
      <c r="N2543" s="84"/>
    </row>
    <row r="2544" spans="14:14" x14ac:dyDescent="0.25">
      <c r="N2544" s="84"/>
    </row>
    <row r="2545" spans="14:14" x14ac:dyDescent="0.25">
      <c r="N2545" s="84"/>
    </row>
    <row r="2546" spans="14:14" x14ac:dyDescent="0.25">
      <c r="N2546" s="84"/>
    </row>
    <row r="2547" spans="14:14" x14ac:dyDescent="0.25">
      <c r="N2547" s="84"/>
    </row>
    <row r="2548" spans="14:14" x14ac:dyDescent="0.25">
      <c r="N2548" s="84"/>
    </row>
    <row r="2549" spans="14:14" x14ac:dyDescent="0.25">
      <c r="N2549" s="84"/>
    </row>
    <row r="2550" spans="14:14" x14ac:dyDescent="0.25">
      <c r="N2550" s="84"/>
    </row>
    <row r="2551" spans="14:14" x14ac:dyDescent="0.25">
      <c r="N2551" s="84"/>
    </row>
    <row r="2552" spans="14:14" x14ac:dyDescent="0.25">
      <c r="N2552" s="84"/>
    </row>
    <row r="2553" spans="14:14" x14ac:dyDescent="0.25">
      <c r="N2553" s="84"/>
    </row>
    <row r="2554" spans="14:14" x14ac:dyDescent="0.25">
      <c r="N2554" s="84"/>
    </row>
    <row r="2555" spans="14:14" x14ac:dyDescent="0.25">
      <c r="N2555" s="84"/>
    </row>
    <row r="2556" spans="14:14" x14ac:dyDescent="0.25">
      <c r="N2556" s="84"/>
    </row>
    <row r="2557" spans="14:14" x14ac:dyDescent="0.25">
      <c r="N2557" s="84"/>
    </row>
    <row r="2558" spans="14:14" x14ac:dyDescent="0.25">
      <c r="N2558" s="84"/>
    </row>
    <row r="2559" spans="14:14" x14ac:dyDescent="0.25">
      <c r="N2559" s="84"/>
    </row>
    <row r="2560" spans="14:14" x14ac:dyDescent="0.25">
      <c r="N2560" s="84"/>
    </row>
    <row r="2561" spans="14:14" x14ac:dyDescent="0.25">
      <c r="N2561" s="84"/>
    </row>
    <row r="2562" spans="14:14" x14ac:dyDescent="0.25">
      <c r="N2562" s="84"/>
    </row>
    <row r="2563" spans="14:14" x14ac:dyDescent="0.25">
      <c r="N2563" s="84"/>
    </row>
    <row r="2564" spans="14:14" x14ac:dyDescent="0.25">
      <c r="N2564" s="84"/>
    </row>
    <row r="2565" spans="14:14" x14ac:dyDescent="0.25">
      <c r="N2565" s="84"/>
    </row>
    <row r="2566" spans="14:14" x14ac:dyDescent="0.25">
      <c r="N2566" s="84"/>
    </row>
    <row r="2567" spans="14:14" x14ac:dyDescent="0.25">
      <c r="N2567" s="84"/>
    </row>
    <row r="2568" spans="14:14" x14ac:dyDescent="0.25">
      <c r="N2568" s="84"/>
    </row>
    <row r="2569" spans="14:14" x14ac:dyDescent="0.25">
      <c r="N2569" s="84"/>
    </row>
    <row r="2570" spans="14:14" x14ac:dyDescent="0.25">
      <c r="N2570" s="84"/>
    </row>
    <row r="2571" spans="14:14" x14ac:dyDescent="0.25">
      <c r="N2571" s="84"/>
    </row>
    <row r="2572" spans="14:14" x14ac:dyDescent="0.25">
      <c r="N2572" s="84"/>
    </row>
    <row r="2573" spans="14:14" x14ac:dyDescent="0.25">
      <c r="N2573" s="84"/>
    </row>
    <row r="2574" spans="14:14" x14ac:dyDescent="0.25">
      <c r="N2574" s="84"/>
    </row>
    <row r="2575" spans="14:14" x14ac:dyDescent="0.25">
      <c r="N2575" s="84"/>
    </row>
    <row r="2576" spans="14:14" x14ac:dyDescent="0.25">
      <c r="N2576" s="84"/>
    </row>
    <row r="2577" spans="14:14" x14ac:dyDescent="0.25">
      <c r="N2577" s="84"/>
    </row>
    <row r="2578" spans="14:14" x14ac:dyDescent="0.25">
      <c r="N2578" s="84"/>
    </row>
  </sheetData>
  <mergeCells count="26">
    <mergeCell ref="J289:M289"/>
    <mergeCell ref="B287:K287"/>
    <mergeCell ref="B219:H219"/>
    <mergeCell ref="B284:K284"/>
    <mergeCell ref="B285:K285"/>
    <mergeCell ref="B286:K286"/>
    <mergeCell ref="F307:G307"/>
    <mergeCell ref="F308:G308"/>
    <mergeCell ref="F301:G301"/>
    <mergeCell ref="F302:G302"/>
    <mergeCell ref="F303:G303"/>
    <mergeCell ref="F304:G304"/>
    <mergeCell ref="F305:G305"/>
    <mergeCell ref="F306:G306"/>
    <mergeCell ref="F300:G300"/>
    <mergeCell ref="B289:G289"/>
    <mergeCell ref="F291:G291"/>
    <mergeCell ref="F292:G292"/>
    <mergeCell ref="F293:G293"/>
    <mergeCell ref="F295:G295"/>
    <mergeCell ref="F296:G296"/>
    <mergeCell ref="F297:G297"/>
    <mergeCell ref="F298:G298"/>
    <mergeCell ref="F299:G299"/>
    <mergeCell ref="F290:G290"/>
    <mergeCell ref="F294:G294"/>
  </mergeCells>
  <phoneticPr fontId="21" type="noConversion"/>
  <conditionalFormatting sqref="B2">
    <cfRule type="duplicateValues" dxfId="38" priority="57"/>
  </conditionalFormatting>
  <conditionalFormatting sqref="B288:B301 B2">
    <cfRule type="duplicateValues" dxfId="37" priority="138"/>
  </conditionalFormatting>
  <conditionalFormatting sqref="B288:B304 B2">
    <cfRule type="duplicateValues" dxfId="36" priority="141"/>
  </conditionalFormatting>
  <conditionalFormatting sqref="B288:B306">
    <cfRule type="duplicateValues" dxfId="35" priority="144"/>
  </conditionalFormatting>
  <conditionalFormatting sqref="B290:B307">
    <cfRule type="duplicateValues" dxfId="34" priority="146"/>
  </conditionalFormatting>
  <conditionalFormatting sqref="B291:B307">
    <cfRule type="duplicateValues" dxfId="33" priority="148"/>
  </conditionalFormatting>
  <conditionalFormatting sqref="B309 B291:B307">
    <cfRule type="duplicateValues" dxfId="32" priority="25"/>
  </conditionalFormatting>
  <conditionalFormatting sqref="D288 D290:D294">
    <cfRule type="duplicateValues" dxfId="31" priority="152"/>
  </conditionalFormatting>
  <conditionalFormatting sqref="D288 D290:D296">
    <cfRule type="duplicateValues" dxfId="30" priority="155"/>
  </conditionalFormatting>
  <conditionalFormatting sqref="D288 D290:D297">
    <cfRule type="duplicateValues" dxfId="29" priority="121"/>
  </conditionalFormatting>
  <conditionalFormatting sqref="D290:D291 D288">
    <cfRule type="duplicateValues" dxfId="28" priority="29"/>
  </conditionalFormatting>
  <conditionalFormatting sqref="D290:D299">
    <cfRule type="duplicateValues" dxfId="27" priority="161"/>
  </conditionalFormatting>
  <conditionalFormatting sqref="D291:D300">
    <cfRule type="duplicateValues" dxfId="26" priority="163"/>
  </conditionalFormatting>
  <conditionalFormatting sqref="G288 G291">
    <cfRule type="duplicateValues" dxfId="25" priority="30"/>
  </conditionalFormatting>
  <conditionalFormatting sqref="G288 G291:G293">
    <cfRule type="duplicateValues" dxfId="24" priority="169"/>
  </conditionalFormatting>
  <conditionalFormatting sqref="G295:G296 G288 G291:G293">
    <cfRule type="duplicateValues" dxfId="23" priority="32"/>
  </conditionalFormatting>
  <conditionalFormatting sqref="G295:G297 G288 G291:G293">
    <cfRule type="duplicateValues" dxfId="22" priority="132"/>
  </conditionalFormatting>
  <conditionalFormatting sqref="G295:G299 G291:G293">
    <cfRule type="duplicateValues" dxfId="21" priority="24"/>
  </conditionalFormatting>
  <conditionalFormatting sqref="G295:G300 G291:G293">
    <cfRule type="duplicateValues" dxfId="20" priority="137"/>
  </conditionalFormatting>
  <conditionalFormatting sqref="H290">
    <cfRule type="duplicateValues" dxfId="19" priority="10"/>
  </conditionalFormatting>
  <conditionalFormatting sqref="H291">
    <cfRule type="duplicateValues" dxfId="18" priority="11"/>
  </conditionalFormatting>
  <conditionalFormatting sqref="H291:H293">
    <cfRule type="duplicateValues" dxfId="17" priority="12"/>
  </conditionalFormatting>
  <conditionalFormatting sqref="H298:H299 H291:H293">
    <cfRule type="duplicateValues" dxfId="16" priority="13"/>
  </conditionalFormatting>
  <conditionalFormatting sqref="H298:H300 H291:H293">
    <cfRule type="duplicateValues" dxfId="15" priority="14"/>
  </conditionalFormatting>
  <conditionalFormatting sqref="J289">
    <cfRule type="duplicateValues" dxfId="14" priority="2"/>
    <cfRule type="duplicateValues" dxfId="13" priority="3"/>
    <cfRule type="duplicateValues" dxfId="12" priority="4"/>
  </conditionalFormatting>
  <conditionalFormatting sqref="K291:K292">
    <cfRule type="duplicateValues" dxfId="11" priority="1"/>
  </conditionalFormatting>
  <conditionalFormatting sqref="M2">
    <cfRule type="duplicateValues" dxfId="10" priority="71"/>
  </conditionalFormatting>
  <conditionalFormatting sqref="M281:M282">
    <cfRule type="duplicateValues" dxfId="9" priority="5"/>
  </conditionalFormatting>
  <conditionalFormatting sqref="M288 M2 M291">
    <cfRule type="duplicateValues" dxfId="8" priority="18"/>
  </conditionalFormatting>
  <conditionalFormatting sqref="M288 M2 M291:M293">
    <cfRule type="duplicateValues" dxfId="7" priority="175"/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3C1F0-A23C-4052-8B45-848A977F2A1E}">
  <dimension ref="A1:D23"/>
  <sheetViews>
    <sheetView workbookViewId="0">
      <selection activeCell="K13" sqref="K13"/>
    </sheetView>
  </sheetViews>
  <sheetFormatPr defaultRowHeight="15" x14ac:dyDescent="0.25"/>
  <cols>
    <col min="2" max="2" width="17.140625" customWidth="1"/>
    <col min="3" max="3" width="25.28515625" customWidth="1"/>
    <col min="5" max="5" width="20.85546875" customWidth="1"/>
    <col min="12" max="12" width="18.85546875" customWidth="1"/>
    <col min="13" max="13" width="14.5703125" customWidth="1"/>
    <col min="15" max="15" width="17.28515625" customWidth="1"/>
  </cols>
  <sheetData>
    <row r="1" spans="1:4" x14ac:dyDescent="0.25">
      <c r="A1" s="118" t="s">
        <v>438</v>
      </c>
      <c r="B1" s="118" t="s">
        <v>0</v>
      </c>
      <c r="C1" s="118" t="s">
        <v>444</v>
      </c>
      <c r="D1" s="27" t="s">
        <v>500</v>
      </c>
    </row>
    <row r="2" spans="1:4" ht="25.5" x14ac:dyDescent="0.25">
      <c r="A2" s="100">
        <v>4950</v>
      </c>
      <c r="B2" s="100" t="s">
        <v>386</v>
      </c>
      <c r="C2" s="86">
        <v>8287930613</v>
      </c>
      <c r="D2" s="5">
        <v>99</v>
      </c>
    </row>
    <row r="3" spans="1:4" x14ac:dyDescent="0.25">
      <c r="A3" s="27">
        <v>4758</v>
      </c>
      <c r="B3" s="27" t="s">
        <v>455</v>
      </c>
      <c r="C3" s="129">
        <v>8368616981</v>
      </c>
      <c r="D3" s="5">
        <v>99</v>
      </c>
    </row>
    <row r="4" spans="1:4" x14ac:dyDescent="0.25">
      <c r="A4" s="5">
        <v>4899</v>
      </c>
      <c r="B4" s="10" t="s">
        <v>418</v>
      </c>
      <c r="C4" s="86">
        <v>8287930637</v>
      </c>
      <c r="D4" s="5">
        <v>99</v>
      </c>
    </row>
    <row r="5" spans="1:4" x14ac:dyDescent="0.25">
      <c r="A5" s="27">
        <v>5859</v>
      </c>
      <c r="B5" s="27" t="s">
        <v>288</v>
      </c>
      <c r="C5" s="129">
        <v>9625941228</v>
      </c>
      <c r="D5" s="5">
        <v>67</v>
      </c>
    </row>
    <row r="6" spans="1:4" x14ac:dyDescent="0.25">
      <c r="A6" s="14" t="s">
        <v>325</v>
      </c>
      <c r="B6" s="3" t="s">
        <v>449</v>
      </c>
      <c r="C6" s="86">
        <v>8287930634</v>
      </c>
      <c r="D6" s="5">
        <v>67</v>
      </c>
    </row>
    <row r="7" spans="1:4" x14ac:dyDescent="0.25">
      <c r="A7" s="5">
        <v>5035</v>
      </c>
      <c r="B7" s="3" t="s">
        <v>49</v>
      </c>
      <c r="C7" s="86">
        <v>8287930632</v>
      </c>
      <c r="D7" s="5">
        <v>99</v>
      </c>
    </row>
    <row r="8" spans="1:4" x14ac:dyDescent="0.25">
      <c r="A8" s="5">
        <v>5276</v>
      </c>
      <c r="B8" s="3" t="s">
        <v>46</v>
      </c>
      <c r="C8" s="86">
        <v>8287930628</v>
      </c>
      <c r="D8" s="5">
        <v>99</v>
      </c>
    </row>
    <row r="9" spans="1:4" x14ac:dyDescent="0.25">
      <c r="A9" s="5">
        <v>6056</v>
      </c>
      <c r="B9" s="3" t="s">
        <v>43</v>
      </c>
      <c r="C9" s="86">
        <v>8287930627</v>
      </c>
      <c r="D9" s="5">
        <v>99</v>
      </c>
    </row>
    <row r="10" spans="1:4" x14ac:dyDescent="0.25">
      <c r="A10" s="3">
        <v>5391</v>
      </c>
      <c r="B10" s="3" t="s">
        <v>290</v>
      </c>
      <c r="C10" s="129">
        <v>9625941227</v>
      </c>
      <c r="D10" s="5">
        <v>67</v>
      </c>
    </row>
    <row r="11" spans="1:4" x14ac:dyDescent="0.25">
      <c r="A11" s="5">
        <v>5001</v>
      </c>
      <c r="B11" s="10" t="s">
        <v>62</v>
      </c>
      <c r="C11" s="86">
        <v>8287930651</v>
      </c>
      <c r="D11" s="5">
        <v>99</v>
      </c>
    </row>
    <row r="12" spans="1:4" x14ac:dyDescent="0.25">
      <c r="A12" s="25">
        <v>5902</v>
      </c>
      <c r="B12" s="26" t="s">
        <v>36</v>
      </c>
      <c r="C12" s="124">
        <v>8595924195</v>
      </c>
      <c r="D12" s="5">
        <v>0</v>
      </c>
    </row>
    <row r="13" spans="1:4" x14ac:dyDescent="0.25">
      <c r="A13" s="14">
        <v>5898</v>
      </c>
      <c r="B13" s="16" t="s">
        <v>164</v>
      </c>
      <c r="C13" s="86">
        <v>8287930774</v>
      </c>
      <c r="D13" s="5">
        <v>99</v>
      </c>
    </row>
    <row r="14" spans="1:4" x14ac:dyDescent="0.25">
      <c r="A14" s="5">
        <v>4997</v>
      </c>
      <c r="B14" s="10" t="s">
        <v>60</v>
      </c>
      <c r="C14" s="86">
        <v>8287930645</v>
      </c>
      <c r="D14" s="5">
        <v>99</v>
      </c>
    </row>
    <row r="15" spans="1:4" x14ac:dyDescent="0.25">
      <c r="A15" s="5">
        <v>5131</v>
      </c>
      <c r="B15" s="3" t="s">
        <v>72</v>
      </c>
      <c r="C15" s="86">
        <v>8287930667</v>
      </c>
      <c r="D15" s="5">
        <v>99</v>
      </c>
    </row>
    <row r="16" spans="1:4" x14ac:dyDescent="0.25">
      <c r="A16" s="27">
        <v>2630</v>
      </c>
      <c r="B16" s="65" t="s">
        <v>434</v>
      </c>
      <c r="C16" s="85">
        <v>8287873357</v>
      </c>
      <c r="D16" s="5">
        <v>99</v>
      </c>
    </row>
    <row r="17" spans="1:4" ht="24.75" x14ac:dyDescent="0.25">
      <c r="A17" s="14">
        <v>5896</v>
      </c>
      <c r="B17" s="16" t="s">
        <v>221</v>
      </c>
      <c r="C17" s="86">
        <v>8595924226</v>
      </c>
      <c r="D17" s="5">
        <v>67</v>
      </c>
    </row>
    <row r="18" spans="1:4" x14ac:dyDescent="0.25">
      <c r="A18" s="22">
        <v>5390</v>
      </c>
      <c r="B18" s="3" t="s">
        <v>274</v>
      </c>
      <c r="C18" s="129">
        <v>7827969068</v>
      </c>
      <c r="D18" s="5">
        <v>67</v>
      </c>
    </row>
    <row r="19" spans="1:4" x14ac:dyDescent="0.25">
      <c r="A19" s="22">
        <v>6673</v>
      </c>
      <c r="B19" s="3" t="s">
        <v>276</v>
      </c>
      <c r="C19" s="129">
        <v>7827969076</v>
      </c>
      <c r="D19" s="5">
        <v>67</v>
      </c>
    </row>
    <row r="20" spans="1:4" x14ac:dyDescent="0.25">
      <c r="A20" s="14">
        <v>4902</v>
      </c>
      <c r="B20" s="16" t="s">
        <v>78</v>
      </c>
      <c r="C20" s="86">
        <v>8287930672</v>
      </c>
      <c r="D20" s="5">
        <v>99</v>
      </c>
    </row>
    <row r="21" spans="1:4" x14ac:dyDescent="0.25">
      <c r="A21" s="14">
        <v>6131</v>
      </c>
      <c r="B21" s="16" t="s">
        <v>47</v>
      </c>
      <c r="C21" s="86">
        <v>8595924227</v>
      </c>
      <c r="D21" s="5">
        <v>67</v>
      </c>
    </row>
    <row r="22" spans="1:4" x14ac:dyDescent="0.25">
      <c r="A22" s="5">
        <v>2634</v>
      </c>
      <c r="B22" s="3" t="s">
        <v>433</v>
      </c>
      <c r="C22" s="86">
        <v>8287930652</v>
      </c>
      <c r="D22" s="5">
        <v>99</v>
      </c>
    </row>
    <row r="23" spans="1:4" x14ac:dyDescent="0.25">
      <c r="A23" s="14">
        <v>5496</v>
      </c>
      <c r="B23" s="16" t="s">
        <v>158</v>
      </c>
      <c r="C23" s="86">
        <v>8287930768</v>
      </c>
      <c r="D23" s="5">
        <v>99</v>
      </c>
    </row>
  </sheetData>
  <conditionalFormatting sqref="A1">
    <cfRule type="duplicateValues" dxfId="6" priority="4"/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</conditionalFormatting>
  <conditionalFormatting sqref="C16">
    <cfRule type="duplicateValues" dxfId="0" priority="7"/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8"/>
  <sheetViews>
    <sheetView workbookViewId="0">
      <selection activeCell="K23" sqref="K23"/>
    </sheetView>
  </sheetViews>
  <sheetFormatPr defaultRowHeight="15" x14ac:dyDescent="0.25"/>
  <cols>
    <col min="2" max="2" width="17.7109375" customWidth="1"/>
    <col min="3" max="3" width="40.5703125" customWidth="1"/>
    <col min="4" max="4" width="17.85546875" customWidth="1"/>
  </cols>
  <sheetData>
    <row r="2" spans="1:9" ht="26.25" x14ac:dyDescent="0.4">
      <c r="A2" s="150" t="s">
        <v>333</v>
      </c>
      <c r="B2" s="151"/>
      <c r="C2" s="151"/>
      <c r="D2" s="151"/>
      <c r="E2" s="152"/>
    </row>
    <row r="3" spans="1:9" ht="26.25" x14ac:dyDescent="0.4">
      <c r="A3" s="62" t="s">
        <v>334</v>
      </c>
      <c r="B3" s="72" t="s">
        <v>0</v>
      </c>
      <c r="C3" s="73" t="s">
        <v>335</v>
      </c>
      <c r="D3" s="28" t="s">
        <v>371</v>
      </c>
      <c r="E3" s="28" t="s">
        <v>372</v>
      </c>
    </row>
    <row r="4" spans="1:9" x14ac:dyDescent="0.25">
      <c r="A4" s="63">
        <v>1</v>
      </c>
      <c r="B4" s="27" t="s">
        <v>336</v>
      </c>
      <c r="C4" s="27" t="s">
        <v>337</v>
      </c>
      <c r="D4" s="63">
        <v>1</v>
      </c>
      <c r="E4" s="63">
        <v>1</v>
      </c>
    </row>
    <row r="5" spans="1:9" x14ac:dyDescent="0.25">
      <c r="A5" s="63">
        <v>2</v>
      </c>
      <c r="B5" s="27" t="s">
        <v>338</v>
      </c>
      <c r="C5" s="64" t="s">
        <v>339</v>
      </c>
      <c r="D5" s="63">
        <v>1</v>
      </c>
      <c r="E5" s="63">
        <v>1</v>
      </c>
    </row>
    <row r="6" spans="1:9" x14ac:dyDescent="0.25">
      <c r="A6" s="63">
        <v>3</v>
      </c>
      <c r="B6" s="27" t="s">
        <v>201</v>
      </c>
      <c r="C6" s="64" t="s">
        <v>340</v>
      </c>
      <c r="D6" s="63">
        <v>1</v>
      </c>
      <c r="E6" s="63">
        <v>1</v>
      </c>
    </row>
    <row r="7" spans="1:9" x14ac:dyDescent="0.25">
      <c r="A7" s="63">
        <v>4</v>
      </c>
      <c r="B7" s="65" t="s">
        <v>2</v>
      </c>
      <c r="C7" s="66" t="s">
        <v>341</v>
      </c>
      <c r="D7" s="63">
        <v>1</v>
      </c>
      <c r="E7" s="63">
        <v>1</v>
      </c>
      <c r="I7" s="71"/>
    </row>
    <row r="8" spans="1:9" x14ac:dyDescent="0.25">
      <c r="A8" s="63">
        <v>5</v>
      </c>
      <c r="B8" s="65" t="s">
        <v>342</v>
      </c>
      <c r="C8" s="66" t="s">
        <v>343</v>
      </c>
      <c r="D8" s="63">
        <v>1</v>
      </c>
      <c r="E8" s="63">
        <v>1</v>
      </c>
    </row>
    <row r="9" spans="1:9" x14ac:dyDescent="0.25">
      <c r="A9" s="63">
        <v>6</v>
      </c>
      <c r="B9" s="65" t="s">
        <v>344</v>
      </c>
      <c r="C9" s="64" t="s">
        <v>345</v>
      </c>
      <c r="D9" s="63">
        <v>1</v>
      </c>
      <c r="E9" s="63">
        <v>1</v>
      </c>
    </row>
    <row r="10" spans="1:9" x14ac:dyDescent="0.25">
      <c r="A10" s="63">
        <v>7</v>
      </c>
      <c r="B10" s="65" t="s">
        <v>94</v>
      </c>
      <c r="C10" s="66" t="s">
        <v>346</v>
      </c>
      <c r="D10" s="63">
        <v>1</v>
      </c>
      <c r="E10" s="63">
        <v>1</v>
      </c>
    </row>
    <row r="11" spans="1:9" x14ac:dyDescent="0.25">
      <c r="A11" s="63">
        <v>8</v>
      </c>
      <c r="B11" s="65" t="s">
        <v>347</v>
      </c>
      <c r="C11" s="67" t="s">
        <v>18</v>
      </c>
      <c r="D11" s="63">
        <v>1</v>
      </c>
      <c r="E11" s="63">
        <v>1</v>
      </c>
    </row>
    <row r="12" spans="1:9" x14ac:dyDescent="0.25">
      <c r="A12" s="63">
        <v>9</v>
      </c>
      <c r="B12" s="65" t="s">
        <v>348</v>
      </c>
      <c r="C12" s="66" t="s">
        <v>349</v>
      </c>
      <c r="D12" s="63">
        <v>1</v>
      </c>
      <c r="E12" s="63">
        <v>1</v>
      </c>
    </row>
    <row r="13" spans="1:9" x14ac:dyDescent="0.25">
      <c r="A13" s="63">
        <v>10</v>
      </c>
      <c r="B13" s="65" t="s">
        <v>20</v>
      </c>
      <c r="C13" s="66" t="s">
        <v>350</v>
      </c>
      <c r="D13" s="63">
        <v>1</v>
      </c>
      <c r="E13" s="63">
        <v>1</v>
      </c>
    </row>
    <row r="14" spans="1:9" x14ac:dyDescent="0.25">
      <c r="A14" s="63">
        <v>11</v>
      </c>
      <c r="B14" s="65" t="s">
        <v>351</v>
      </c>
      <c r="C14" s="66" t="s">
        <v>352</v>
      </c>
      <c r="D14" s="63">
        <v>1</v>
      </c>
      <c r="E14" s="63">
        <v>1</v>
      </c>
    </row>
    <row r="15" spans="1:9" x14ac:dyDescent="0.25">
      <c r="A15" s="63">
        <v>12</v>
      </c>
      <c r="B15" s="68" t="s">
        <v>291</v>
      </c>
      <c r="C15" s="69" t="s">
        <v>28</v>
      </c>
      <c r="D15" s="63">
        <v>1</v>
      </c>
      <c r="E15" s="63">
        <v>1</v>
      </c>
    </row>
    <row r="16" spans="1:9" x14ac:dyDescent="0.25">
      <c r="A16" s="63">
        <v>13</v>
      </c>
      <c r="B16" s="65" t="s">
        <v>353</v>
      </c>
      <c r="C16" s="66" t="s">
        <v>354</v>
      </c>
      <c r="D16" s="63">
        <v>1</v>
      </c>
      <c r="E16" s="63">
        <v>1</v>
      </c>
    </row>
    <row r="17" spans="1:5" x14ac:dyDescent="0.25">
      <c r="A17" s="63">
        <v>14</v>
      </c>
      <c r="B17" s="65" t="s">
        <v>355</v>
      </c>
      <c r="C17" s="66" t="s">
        <v>263</v>
      </c>
      <c r="D17" s="63">
        <v>1</v>
      </c>
      <c r="E17" s="63">
        <v>1</v>
      </c>
    </row>
    <row r="18" spans="1:5" x14ac:dyDescent="0.25">
      <c r="A18" s="63">
        <v>15</v>
      </c>
      <c r="B18" s="65" t="s">
        <v>356</v>
      </c>
      <c r="C18" s="66" t="s">
        <v>357</v>
      </c>
      <c r="D18" s="63">
        <v>1</v>
      </c>
      <c r="E18" s="63">
        <v>1</v>
      </c>
    </row>
    <row r="19" spans="1:5" x14ac:dyDescent="0.25">
      <c r="A19" s="63">
        <v>16</v>
      </c>
      <c r="B19" s="65" t="s">
        <v>358</v>
      </c>
      <c r="C19" s="66" t="s">
        <v>359</v>
      </c>
      <c r="D19" s="63">
        <v>1</v>
      </c>
      <c r="E19" s="63">
        <v>1</v>
      </c>
    </row>
    <row r="20" spans="1:5" x14ac:dyDescent="0.25">
      <c r="A20" s="63">
        <v>17</v>
      </c>
      <c r="B20" s="69" t="s">
        <v>25</v>
      </c>
      <c r="C20" s="69" t="s">
        <v>360</v>
      </c>
      <c r="D20" s="63">
        <v>1</v>
      </c>
      <c r="E20" s="63">
        <v>1</v>
      </c>
    </row>
    <row r="21" spans="1:5" x14ac:dyDescent="0.25">
      <c r="A21" s="63">
        <v>18</v>
      </c>
      <c r="B21" s="69" t="s">
        <v>361</v>
      </c>
      <c r="C21" s="69" t="s">
        <v>362</v>
      </c>
      <c r="D21" s="63">
        <v>1</v>
      </c>
      <c r="E21" s="63">
        <v>1</v>
      </c>
    </row>
    <row r="22" spans="1:5" ht="30" x14ac:dyDescent="0.25">
      <c r="A22" s="63">
        <v>19</v>
      </c>
      <c r="B22" s="69" t="s">
        <v>363</v>
      </c>
      <c r="C22" s="69" t="s">
        <v>364</v>
      </c>
      <c r="D22" s="63">
        <v>1</v>
      </c>
      <c r="E22" s="63">
        <v>1</v>
      </c>
    </row>
    <row r="23" spans="1:5" x14ac:dyDescent="0.25">
      <c r="A23" s="63">
        <v>20</v>
      </c>
      <c r="B23" s="69" t="s">
        <v>35</v>
      </c>
      <c r="C23" s="69" t="s">
        <v>364</v>
      </c>
      <c r="D23" s="63">
        <v>1</v>
      </c>
      <c r="E23" s="63">
        <v>1</v>
      </c>
    </row>
    <row r="24" spans="1:5" x14ac:dyDescent="0.25">
      <c r="A24" s="63">
        <v>21</v>
      </c>
      <c r="B24" s="10" t="s">
        <v>32</v>
      </c>
      <c r="C24" s="69" t="s">
        <v>365</v>
      </c>
      <c r="D24" s="63">
        <v>1</v>
      </c>
      <c r="E24" s="63">
        <v>1</v>
      </c>
    </row>
    <row r="25" spans="1:5" x14ac:dyDescent="0.25">
      <c r="A25" s="63">
        <v>22</v>
      </c>
      <c r="B25" s="68" t="s">
        <v>40</v>
      </c>
      <c r="C25" s="70" t="s">
        <v>366</v>
      </c>
      <c r="D25" s="63">
        <v>1</v>
      </c>
      <c r="E25" s="63">
        <v>1</v>
      </c>
    </row>
    <row r="26" spans="1:5" x14ac:dyDescent="0.25">
      <c r="A26" s="63">
        <v>23</v>
      </c>
      <c r="B26" s="65" t="s">
        <v>367</v>
      </c>
      <c r="C26" s="66" t="s">
        <v>368</v>
      </c>
      <c r="D26" s="63">
        <v>1</v>
      </c>
      <c r="E26" s="63">
        <v>1</v>
      </c>
    </row>
    <row r="27" spans="1:5" x14ac:dyDescent="0.25">
      <c r="A27" s="63">
        <v>24</v>
      </c>
      <c r="B27" s="3" t="s">
        <v>106</v>
      </c>
      <c r="C27" s="3" t="s">
        <v>369</v>
      </c>
      <c r="D27" s="63">
        <v>1</v>
      </c>
      <c r="E27" s="63">
        <v>1</v>
      </c>
    </row>
    <row r="28" spans="1:5" x14ac:dyDescent="0.25">
      <c r="A28" s="29"/>
      <c r="B28" s="29"/>
      <c r="C28" s="27" t="s">
        <v>373</v>
      </c>
      <c r="D28" s="63">
        <v>24</v>
      </c>
      <c r="E28" s="63">
        <v>24</v>
      </c>
    </row>
  </sheetData>
  <mergeCells count="1">
    <mergeCell ref="A2:E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4" sqref="C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staff details mgr and above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</dc:creator>
  <cp:lastModifiedBy>POONAM_ADMIN</cp:lastModifiedBy>
  <cp:lastPrinted>2023-08-25T08:48:26Z</cp:lastPrinted>
  <dcterms:created xsi:type="dcterms:W3CDTF">2022-11-11T06:28:44Z</dcterms:created>
  <dcterms:modified xsi:type="dcterms:W3CDTF">2026-06-29T12:09:36Z</dcterms:modified>
</cp:coreProperties>
</file>